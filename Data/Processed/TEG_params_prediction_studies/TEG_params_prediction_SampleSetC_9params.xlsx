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uanyunliu/Desktop/TEG Model Validation Project/Data/Processed/TEG_params_prediction_studies/"/>
    </mc:Choice>
  </mc:AlternateContent>
  <xr:revisionPtr revIDLastSave="0" documentId="13_ncr:1_{631FC994-2E5C-C14D-A7CC-B24CC55E1A53}" xr6:coauthVersionLast="47" xr6:coauthVersionMax="47" xr10:uidLastSave="{00000000-0000-0000-0000-000000000000}"/>
  <bookViews>
    <workbookView xWindow="38400" yWindow="0" windowWidth="38400" windowHeight="21600" activeTab="6" xr2:uid="{00000000-000D-0000-FFFF-FFFF00000000}"/>
  </bookViews>
  <sheets>
    <sheet name="S1C_tP.TXT" sheetId="2" r:id="rId1"/>
    <sheet name="S2C_tPA.TXT" sheetId="3" r:id="rId2"/>
    <sheet name="S3C_tP.TXT" sheetId="4" r:id="rId3"/>
    <sheet name="S4C_tP.TXT" sheetId="5" r:id="rId4"/>
    <sheet name="S5C_tPA.TXT" sheetId="6" r:id="rId5"/>
    <sheet name="S6C_tP.TXT" sheetId="7" r:id="rId6"/>
    <sheet name="All Samples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33" i="8" l="1" a="1"/>
  <c r="Z133" i="8" s="1"/>
  <c r="W133" i="8" a="1"/>
  <c r="W133" i="8" s="1"/>
  <c r="T133" i="8" a="1"/>
  <c r="T133" i="8" s="1"/>
  <c r="Q133" i="8" a="1"/>
  <c r="Q133" i="8" s="1"/>
  <c r="N133" i="8" a="1"/>
  <c r="N133" i="8" s="1"/>
  <c r="K133" i="8" a="1"/>
  <c r="K133" i="8" s="1"/>
  <c r="H133" i="8" a="1"/>
  <c r="H133" i="8" s="1"/>
  <c r="E133" i="8" a="1"/>
  <c r="E133" i="8" s="1"/>
  <c r="D27" i="2" a="1"/>
  <c r="D27" i="2" s="1"/>
  <c r="D26" i="2"/>
  <c r="D25" i="2"/>
  <c r="D131" i="8" a="1"/>
  <c r="D131" i="8" s="1"/>
  <c r="E131" i="8" a="1"/>
  <c r="E131" i="8"/>
  <c r="F131" i="8" a="1"/>
  <c r="F131" i="8" s="1"/>
  <c r="G131" i="8" a="1"/>
  <c r="G131" i="8"/>
  <c r="H131" i="8" a="1"/>
  <c r="H131" i="8" s="1"/>
  <c r="I131" i="8" a="1"/>
  <c r="I131" i="8"/>
  <c r="J131" i="8" a="1"/>
  <c r="J131" i="8" s="1"/>
  <c r="K131" i="8" a="1"/>
  <c r="K131" i="8"/>
  <c r="L131" i="8" a="1"/>
  <c r="L131" i="8" s="1"/>
  <c r="M131" i="8" a="1"/>
  <c r="M131" i="8" s="1"/>
  <c r="N131" i="8" a="1"/>
  <c r="N131" i="8" s="1"/>
  <c r="O131" i="8" a="1"/>
  <c r="O131" i="8"/>
  <c r="P131" i="8" a="1"/>
  <c r="P131" i="8" s="1"/>
  <c r="Q131" i="8" a="1"/>
  <c r="Q131" i="8"/>
  <c r="R131" i="8" a="1"/>
  <c r="R131" i="8" s="1"/>
  <c r="S131" i="8" a="1"/>
  <c r="S131" i="8"/>
  <c r="T131" i="8" a="1"/>
  <c r="T131" i="8" s="1"/>
  <c r="U131" i="8" a="1"/>
  <c r="U131" i="8"/>
  <c r="V131" i="8" a="1"/>
  <c r="V131" i="8" s="1"/>
  <c r="W131" i="8" a="1"/>
  <c r="W131" i="8" s="1"/>
  <c r="X131" i="8" a="1"/>
  <c r="X131" i="8" s="1"/>
  <c r="Y131" i="8" a="1"/>
  <c r="Y131" i="8" s="1"/>
  <c r="Z131" i="8" a="1"/>
  <c r="Z131" i="8" s="1"/>
  <c r="C131" i="8" a="1"/>
  <c r="C131" i="8" s="1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C132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<sst xmlns="http://schemas.openxmlformats.org/spreadsheetml/2006/main" count="441" uniqueCount="336">
  <si>
    <t>Row</t>
  </si>
  <si>
    <t>Sample1</t>
  </si>
  <si>
    <t>Sample2</t>
  </si>
  <si>
    <t>Sample3</t>
  </si>
  <si>
    <t>Sample4</t>
  </si>
  <si>
    <t>Sample5</t>
  </si>
  <si>
    <t>Sample6</t>
  </si>
  <si>
    <t>Sample7</t>
  </si>
  <si>
    <t>Sample8</t>
  </si>
  <si>
    <t>Sample9</t>
  </si>
  <si>
    <t>Sample10</t>
  </si>
  <si>
    <t>Sample11</t>
  </si>
  <si>
    <t>Sample12</t>
  </si>
  <si>
    <t>Sample13</t>
  </si>
  <si>
    <t>Sample14</t>
  </si>
  <si>
    <t>Sample15</t>
  </si>
  <si>
    <t>Sample16</t>
  </si>
  <si>
    <t>Sample17</t>
  </si>
  <si>
    <t>Sample18</t>
  </si>
  <si>
    <t>Sample19</t>
  </si>
  <si>
    <t>Sample20</t>
  </si>
  <si>
    <t>Sample21</t>
  </si>
  <si>
    <t>Sample22</t>
  </si>
  <si>
    <t>Exp: R time (min)</t>
  </si>
  <si>
    <t>Prediction: R time (min)</t>
  </si>
  <si>
    <t>R Prediction Error (%)</t>
  </si>
  <si>
    <t>Exp: K time (min)</t>
  </si>
  <si>
    <t>Prediction: K time (min)</t>
  </si>
  <si>
    <t>K Prediction Error (%)</t>
  </si>
  <si>
    <t>Exp: R+K time (min)</t>
  </si>
  <si>
    <t>Prediction: R+K time (min)</t>
  </si>
  <si>
    <t>R+K Prediction Error (%)</t>
  </si>
  <si>
    <t>Exp: MA (mm)</t>
  </si>
  <si>
    <t>Prediction: MA (mm)</t>
  </si>
  <si>
    <t>MA Prediction Error (%)</t>
  </si>
  <si>
    <t>Exp: TMA (min)</t>
  </si>
  <si>
    <t>Prediction: TMA (min)</t>
  </si>
  <si>
    <t>TMA Prediction Error (%)</t>
  </si>
  <si>
    <t>Exp: Angle (deg)</t>
  </si>
  <si>
    <t>Prediction: Angle (deg)</t>
  </si>
  <si>
    <t>Angle Prediction Error (%)</t>
  </si>
  <si>
    <t>Exp: LY30 (%)</t>
  </si>
  <si>
    <t>Prediction: LY30 (%)</t>
  </si>
  <si>
    <t>LY30 Prediction Error (%)</t>
  </si>
  <si>
    <t>Exp: LY60 (%)</t>
  </si>
  <si>
    <t>Prediction: LY60 (%)</t>
  </si>
  <si>
    <t>LY60 Prediction Error (%)</t>
  </si>
  <si>
    <t>Sample23</t>
  </si>
  <si>
    <t>Row</t>
  </si>
  <si>
    <t>Sample1</t>
  </si>
  <si>
    <t>Sample2</t>
  </si>
  <si>
    <t>Sample3</t>
  </si>
  <si>
    <t>Sample4</t>
  </si>
  <si>
    <t>Sample5</t>
  </si>
  <si>
    <t>Sample6</t>
  </si>
  <si>
    <t>Sample7</t>
  </si>
  <si>
    <t>Sample8</t>
  </si>
  <si>
    <t>Sample9</t>
  </si>
  <si>
    <t>Sample10</t>
  </si>
  <si>
    <t>Sample11</t>
  </si>
  <si>
    <t>Sample12</t>
  </si>
  <si>
    <t>Sample13</t>
  </si>
  <si>
    <t>Sample14</t>
  </si>
  <si>
    <t>Sample15</t>
  </si>
  <si>
    <t>Sample16</t>
  </si>
  <si>
    <t>Sample17</t>
  </si>
  <si>
    <t>Sample18</t>
  </si>
  <si>
    <t>Sample19</t>
  </si>
  <si>
    <t>Sample20</t>
  </si>
  <si>
    <t>Sample21</t>
  </si>
  <si>
    <t>Sample22</t>
  </si>
  <si>
    <t>Exp: R time (min)</t>
  </si>
  <si>
    <t>Prediction: R time (min)</t>
  </si>
  <si>
    <t>R Prediction Error (%)</t>
  </si>
  <si>
    <t>Exp: K time (min)</t>
  </si>
  <si>
    <t>Prediction: K time (min)</t>
  </si>
  <si>
    <t>K Prediction Error (%)</t>
  </si>
  <si>
    <t>Exp: R+K time (min)</t>
  </si>
  <si>
    <t>Prediction: R+K time (min)</t>
  </si>
  <si>
    <t>R+K Prediction Error (%)</t>
  </si>
  <si>
    <t>Exp: MA (mm)</t>
  </si>
  <si>
    <t>Prediction: MA (mm)</t>
  </si>
  <si>
    <t>MA Prediction Error (%)</t>
  </si>
  <si>
    <t>Exp: TMA (min)</t>
  </si>
  <si>
    <t>Prediction: TMA (min)</t>
  </si>
  <si>
    <t>TMA Prediction Error (%)</t>
  </si>
  <si>
    <t>Exp: Angle (deg)</t>
  </si>
  <si>
    <t>Prediction: Angle (deg)</t>
  </si>
  <si>
    <t>Angle Prediction Error (%)</t>
  </si>
  <si>
    <t>Exp: LY30 (%)</t>
  </si>
  <si>
    <t>Prediction: LY30 (%)</t>
  </si>
  <si>
    <t>LY30 Prediction Error (%)</t>
  </si>
  <si>
    <t>Exp: LY60 (%)</t>
  </si>
  <si>
    <t>Prediction: LY60 (%)</t>
  </si>
  <si>
    <t>LY60 Prediction Error (%)</t>
  </si>
  <si>
    <t>Row</t>
  </si>
  <si>
    <t>Sample1</t>
  </si>
  <si>
    <t>Sample2</t>
  </si>
  <si>
    <t>Sample3</t>
  </si>
  <si>
    <t>Sample4</t>
  </si>
  <si>
    <t>Sample5</t>
  </si>
  <si>
    <t>Sample6</t>
  </si>
  <si>
    <t>Sample7</t>
  </si>
  <si>
    <t>Sample8</t>
  </si>
  <si>
    <t>Sample9</t>
  </si>
  <si>
    <t>Sample10</t>
  </si>
  <si>
    <t>Sample12</t>
  </si>
  <si>
    <t>Sample13</t>
  </si>
  <si>
    <t>Sample14</t>
  </si>
  <si>
    <t>Sample15</t>
  </si>
  <si>
    <t>Sample16</t>
  </si>
  <si>
    <t>Sample17</t>
  </si>
  <si>
    <t>Sample18</t>
  </si>
  <si>
    <t>Sample19</t>
  </si>
  <si>
    <t>Sample20</t>
  </si>
  <si>
    <t>Sample21</t>
  </si>
  <si>
    <t>Sample22</t>
  </si>
  <si>
    <t>Sample23</t>
  </si>
  <si>
    <t>Exp: R time (min)</t>
  </si>
  <si>
    <t>Prediction: R time (min)</t>
  </si>
  <si>
    <t>R Prediction Error (%)</t>
  </si>
  <si>
    <t>Exp: K time (min)</t>
  </si>
  <si>
    <t>Prediction: K time (min)</t>
  </si>
  <si>
    <t>K Prediction Error (%)</t>
  </si>
  <si>
    <t>Exp: R+K time (min)</t>
  </si>
  <si>
    <t>Prediction: R+K time (min)</t>
  </si>
  <si>
    <t>R+K Prediction Error (%)</t>
  </si>
  <si>
    <t>Exp: MA (mm)</t>
  </si>
  <si>
    <t>Prediction: MA (mm)</t>
  </si>
  <si>
    <t>MA Prediction Error (%)</t>
  </si>
  <si>
    <t>Exp: TMA (min)</t>
  </si>
  <si>
    <t>Prediction: TMA (min)</t>
  </si>
  <si>
    <t>TMA Prediction Error (%)</t>
  </si>
  <si>
    <t>Exp: Angle (deg)</t>
  </si>
  <si>
    <t>Prediction: Angle (deg)</t>
  </si>
  <si>
    <t>Angle Prediction Error (%)</t>
  </si>
  <si>
    <t>Exp: LY30 (%)</t>
  </si>
  <si>
    <t>Prediction: LY30 (%)</t>
  </si>
  <si>
    <t>LY30 Prediction Error (%)</t>
  </si>
  <si>
    <t>Exp: LY60 (%)</t>
  </si>
  <si>
    <t>Prediction: LY60 (%)</t>
  </si>
  <si>
    <t>LY60 Prediction Error (%)</t>
  </si>
  <si>
    <t>Row</t>
  </si>
  <si>
    <t>Sample1</t>
  </si>
  <si>
    <t>Sample2</t>
  </si>
  <si>
    <t>Sample3</t>
  </si>
  <si>
    <t>Sample4</t>
  </si>
  <si>
    <t>Sample5</t>
  </si>
  <si>
    <t>Sample6</t>
  </si>
  <si>
    <t>Sample7</t>
  </si>
  <si>
    <t>Sample8</t>
  </si>
  <si>
    <t>Sample9</t>
  </si>
  <si>
    <t>Sample10</t>
  </si>
  <si>
    <t>Sample11</t>
  </si>
  <si>
    <t>Sample12</t>
  </si>
  <si>
    <t>Sample13</t>
  </si>
  <si>
    <t>Sample14</t>
  </si>
  <si>
    <t>Sample15</t>
  </si>
  <si>
    <t>Sample16</t>
  </si>
  <si>
    <t>Sample17</t>
  </si>
  <si>
    <t>Sample18</t>
  </si>
  <si>
    <t>Sample19</t>
  </si>
  <si>
    <t>Sample20</t>
  </si>
  <si>
    <t>Sample21</t>
  </si>
  <si>
    <t>Sample22</t>
  </si>
  <si>
    <t>Exp: R time (min)</t>
  </si>
  <si>
    <t>Prediction: R time (min)</t>
  </si>
  <si>
    <t>R Prediction Error (%)</t>
  </si>
  <si>
    <t>Exp: K time (min)</t>
  </si>
  <si>
    <t>Prediction: K time (min)</t>
  </si>
  <si>
    <t>K Prediction Error (%)</t>
  </si>
  <si>
    <t>Exp: R+K time (min)</t>
  </si>
  <si>
    <t>Prediction: R+K time (min)</t>
  </si>
  <si>
    <t>R+K Prediction Error (%)</t>
  </si>
  <si>
    <t>Exp: MA (mm)</t>
  </si>
  <si>
    <t>Prediction: MA (mm)</t>
  </si>
  <si>
    <t>MA Prediction Error (%)</t>
  </si>
  <si>
    <t>Exp: TMA (min)</t>
  </si>
  <si>
    <t>Prediction: TMA (min)</t>
  </si>
  <si>
    <t>TMA Prediction Error (%)</t>
  </si>
  <si>
    <t>Exp: Angle (deg)</t>
  </si>
  <si>
    <t>Prediction: Angle (deg)</t>
  </si>
  <si>
    <t>Angle Prediction Error (%)</t>
  </si>
  <si>
    <t>Exp: LY30 (%)</t>
  </si>
  <si>
    <t>Prediction: LY30 (%)</t>
  </si>
  <si>
    <t>LY30 Prediction Error (%)</t>
  </si>
  <si>
    <t>Exp: LY60 (%)</t>
  </si>
  <si>
    <t>Prediction: LY60 (%)</t>
  </si>
  <si>
    <t>LY60 Prediction Error (%)</t>
  </si>
  <si>
    <t>Row</t>
  </si>
  <si>
    <t>Sample1</t>
  </si>
  <si>
    <t>Sample2</t>
  </si>
  <si>
    <t>Sample3</t>
  </si>
  <si>
    <t>Sample4</t>
  </si>
  <si>
    <t>Sample5</t>
  </si>
  <si>
    <t>Sample6</t>
  </si>
  <si>
    <t>Sample7</t>
  </si>
  <si>
    <t>Sample8</t>
  </si>
  <si>
    <t>Sample9</t>
  </si>
  <si>
    <t>Sample10</t>
  </si>
  <si>
    <t>Sample11</t>
  </si>
  <si>
    <t>Sample12</t>
  </si>
  <si>
    <t>Sample13</t>
  </si>
  <si>
    <t>Sample14</t>
  </si>
  <si>
    <t>Sample15</t>
  </si>
  <si>
    <t>Sample16</t>
  </si>
  <si>
    <t>Sample17</t>
  </si>
  <si>
    <t>Sample18</t>
  </si>
  <si>
    <t>Sample19</t>
  </si>
  <si>
    <t>Sample20</t>
  </si>
  <si>
    <t>Sample21</t>
  </si>
  <si>
    <t>Sample22</t>
  </si>
  <si>
    <t>Exp: R time (min)</t>
  </si>
  <si>
    <t>Prediction: R time (min)</t>
  </si>
  <si>
    <t>R Prediction Error (%)</t>
  </si>
  <si>
    <t>Exp: K time (min)</t>
  </si>
  <si>
    <t>Prediction: K time (min)</t>
  </si>
  <si>
    <t>K Prediction Error (%)</t>
  </si>
  <si>
    <t>Exp: R+K time (min)</t>
  </si>
  <si>
    <t>Prediction: R+K time (min)</t>
  </si>
  <si>
    <t>R+K Prediction Error (%)</t>
  </si>
  <si>
    <t>Exp: MA (mm)</t>
  </si>
  <si>
    <t>Prediction: MA (mm)</t>
  </si>
  <si>
    <t>MA Prediction Error (%)</t>
  </si>
  <si>
    <t>Exp: TMA (min)</t>
  </si>
  <si>
    <t>Prediction: TMA (min)</t>
  </si>
  <si>
    <t>TMA Prediction Error (%)</t>
  </si>
  <si>
    <t>Exp: Angle (deg)</t>
  </si>
  <si>
    <t>Prediction: Angle (deg)</t>
  </si>
  <si>
    <t>Angle Prediction Error (%)</t>
  </si>
  <si>
    <t>Exp: LY30 (%)</t>
  </si>
  <si>
    <t>Prediction: LY30 (%)</t>
  </si>
  <si>
    <t>LY30 Prediction Error (%)</t>
  </si>
  <si>
    <t>Exp: LY60 (%)</t>
  </si>
  <si>
    <t>Prediction: LY60 (%)</t>
  </si>
  <si>
    <t>LY60 Prediction Error (%)</t>
  </si>
  <si>
    <t>Row</t>
  </si>
  <si>
    <t>Sample1</t>
  </si>
  <si>
    <t>Sample2</t>
  </si>
  <si>
    <t>Sample3</t>
  </si>
  <si>
    <t>Sample4</t>
  </si>
  <si>
    <t>Sample5</t>
  </si>
  <si>
    <t>Sample6</t>
  </si>
  <si>
    <t>Sample7</t>
  </si>
  <si>
    <t>Sample8</t>
  </si>
  <si>
    <t>Sample9</t>
  </si>
  <si>
    <t>Sample10</t>
  </si>
  <si>
    <t>Sample11</t>
  </si>
  <si>
    <t>Sample12</t>
  </si>
  <si>
    <t>Sample13</t>
  </si>
  <si>
    <t>Sample14</t>
  </si>
  <si>
    <t>Sample15</t>
  </si>
  <si>
    <t>Sample16</t>
  </si>
  <si>
    <t>Sample17</t>
  </si>
  <si>
    <t>Sample18</t>
  </si>
  <si>
    <t>Sample19</t>
  </si>
  <si>
    <t>Sample20</t>
  </si>
  <si>
    <t>Sample21</t>
  </si>
  <si>
    <t>Sample22</t>
  </si>
  <si>
    <t>Exp: R time (min)</t>
  </si>
  <si>
    <t>Prediction: R time (min)</t>
  </si>
  <si>
    <t>R Prediction Error (%)</t>
  </si>
  <si>
    <t>Exp: K time (min)</t>
  </si>
  <si>
    <t>Prediction: K time (min)</t>
  </si>
  <si>
    <t>K Prediction Error (%)</t>
  </si>
  <si>
    <t>Exp: R+K time (min)</t>
  </si>
  <si>
    <t>Prediction: R+K time (min)</t>
  </si>
  <si>
    <t>R+K Prediction Error (%)</t>
  </si>
  <si>
    <t>Exp: MA (mm)</t>
  </si>
  <si>
    <t>Prediction: MA (mm)</t>
  </si>
  <si>
    <t>MA Prediction Error (%)</t>
  </si>
  <si>
    <t>Exp: TMA (min)</t>
  </si>
  <si>
    <t>Prediction: TMA (min)</t>
  </si>
  <si>
    <t>TMA Prediction Error (%)</t>
  </si>
  <si>
    <t>Exp: Angle (deg)</t>
  </si>
  <si>
    <t>Prediction: Angle (deg)</t>
  </si>
  <si>
    <t>Angle Prediction Error (%)</t>
  </si>
  <si>
    <t>Exp: LY30 (%)</t>
  </si>
  <si>
    <t>Prediction: LY30 (%)</t>
  </si>
  <si>
    <t>LY30 Prediction Error (%)</t>
  </si>
  <si>
    <t>Exp: LY60 (%)</t>
  </si>
  <si>
    <t>Prediction: LY60 (%)</t>
  </si>
  <si>
    <t>LY60 Prediction Error (%)</t>
  </si>
  <si>
    <t>Row</t>
  </si>
  <si>
    <t>Sample1</t>
  </si>
  <si>
    <t>Sample2</t>
  </si>
  <si>
    <t>Sample3</t>
  </si>
  <si>
    <t>Sample4</t>
  </si>
  <si>
    <t>Sample5</t>
  </si>
  <si>
    <t>Sample6</t>
  </si>
  <si>
    <t>Sample7</t>
  </si>
  <si>
    <t>Sample8</t>
  </si>
  <si>
    <t>Sample9</t>
  </si>
  <si>
    <t>Sample10</t>
  </si>
  <si>
    <t>Sample11</t>
  </si>
  <si>
    <t>Sample12</t>
  </si>
  <si>
    <t>Sample13</t>
  </si>
  <si>
    <t>Sample14</t>
  </si>
  <si>
    <t>Sample15</t>
  </si>
  <si>
    <t>Sample16</t>
  </si>
  <si>
    <t>Sample17</t>
  </si>
  <si>
    <t>Sample18</t>
  </si>
  <si>
    <t>Exp: R time (min)</t>
  </si>
  <si>
    <t>Prediction: R time (min)</t>
  </si>
  <si>
    <t>R Prediction Error (%)</t>
  </si>
  <si>
    <t>Exp: K time (min)</t>
  </si>
  <si>
    <t>Prediction: K time (min)</t>
  </si>
  <si>
    <t>K Prediction Error (%)</t>
  </si>
  <si>
    <t>Exp: R+K time (min)</t>
  </si>
  <si>
    <t>Prediction: R+K time (min)</t>
  </si>
  <si>
    <t>R+K Prediction Error (%)</t>
  </si>
  <si>
    <t>Exp: MA (mm)</t>
  </si>
  <si>
    <t>Prediction: MA (mm)</t>
  </si>
  <si>
    <t>MA Prediction Error (%)</t>
  </si>
  <si>
    <t>Exp: TMA (min)</t>
  </si>
  <si>
    <t>Prediction: TMA (min)</t>
  </si>
  <si>
    <t>TMA Prediction Error (%)</t>
  </si>
  <si>
    <t>Exp: Angle (deg)</t>
  </si>
  <si>
    <t>Prediction: Angle (deg)</t>
  </si>
  <si>
    <t>Angle Prediction Error (%)</t>
  </si>
  <si>
    <t>Exp: LY30 (%)</t>
  </si>
  <si>
    <t>Prediction: LY30 (%)</t>
  </si>
  <si>
    <t>LY30 Prediction Error (%)</t>
  </si>
  <si>
    <t>Exp: LY60 (%)</t>
  </si>
  <si>
    <t>Prediction: LY60 (%)</t>
  </si>
  <si>
    <t>LY60 Prediction Error (%)</t>
  </si>
  <si>
    <t>S1C</t>
  </si>
  <si>
    <t>Samples</t>
  </si>
  <si>
    <t>S2C</t>
  </si>
  <si>
    <t>S3C</t>
  </si>
  <si>
    <t>S4C</t>
  </si>
  <si>
    <t>S5C</t>
  </si>
  <si>
    <t>S6C</t>
  </si>
  <si>
    <t>mean</t>
  </si>
  <si>
    <t>std</t>
  </si>
  <si>
    <t>std use abs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</si>
</sst>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2" borderId="1" xfId="0" applyFont="1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7"/>
  <sheetViews>
    <sheetView zoomScale="125" workbookViewId="0">
      <selection activeCell="D27" sqref="D27"/>
    </sheetView>
  </sheetViews>
  <sheetFormatPr baseColWidth="10" defaultColWidth="8.83203125" defaultRowHeight="15" x14ac:dyDescent="0.2"/>
  <cols>
    <col min="1" max="1" width="9.6640625" customWidth="1"/>
    <col min="2" max="2" width="16.33203125" customWidth="1"/>
    <col min="3" max="3" width="22.33203125" customWidth="1"/>
    <col min="4" max="4" width="20" customWidth="1"/>
    <col min="5" max="5" width="16.33203125" customWidth="1"/>
    <col min="6" max="6" width="22.33203125" customWidth="1"/>
    <col min="7" max="7" width="20" customWidth="1"/>
    <col min="8" max="8" width="18.5" customWidth="1"/>
    <col min="9" max="9" width="24.5" customWidth="1"/>
    <col min="10" max="10" width="22.1640625" customWidth="1"/>
    <col min="11" max="11" width="13.5" customWidth="1"/>
    <col min="12" max="12" width="19.5" customWidth="1"/>
    <col min="13" max="13" width="21.83203125" customWidth="1"/>
    <col min="14" max="14" width="14.5" customWidth="1"/>
    <col min="15" max="15" width="20.5" customWidth="1"/>
    <col min="16" max="16" width="22.83203125" customWidth="1"/>
    <col min="17" max="17" width="15.5" customWidth="1"/>
    <col min="18" max="18" width="21.5" customWidth="1"/>
    <col min="19" max="19" width="24" customWidth="1"/>
    <col min="20" max="20" width="12.5" customWidth="1"/>
    <col min="21" max="21" width="18.5" customWidth="1"/>
    <col min="22" max="22" width="22.6640625" customWidth="1"/>
    <col min="23" max="23" width="12.5" customWidth="1"/>
    <col min="24" max="24" width="18.5" customWidth="1"/>
    <col min="25" max="25" width="22.6640625" customWidth="1"/>
  </cols>
  <sheetData>
    <row r="1" spans="1:25" x14ac:dyDescent="0.2">
      <c r="A1" t="s">
        <v>48</v>
      </c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80</v>
      </c>
      <c r="L1" t="s">
        <v>81</v>
      </c>
      <c r="M1" t="s">
        <v>82</v>
      </c>
      <c r="N1" t="s">
        <v>83</v>
      </c>
      <c r="O1" t="s">
        <v>84</v>
      </c>
      <c r="P1" t="s">
        <v>85</v>
      </c>
      <c r="Q1" t="s">
        <v>86</v>
      </c>
      <c r="R1" t="s">
        <v>87</v>
      </c>
      <c r="S1" t="s">
        <v>88</v>
      </c>
      <c r="T1" t="s">
        <v>89</v>
      </c>
      <c r="U1" t="s">
        <v>90</v>
      </c>
      <c r="V1" t="s">
        <v>91</v>
      </c>
      <c r="W1" t="s">
        <v>92</v>
      </c>
      <c r="X1" t="s">
        <v>93</v>
      </c>
      <c r="Y1" t="s">
        <v>94</v>
      </c>
    </row>
    <row r="2" spans="1:25" x14ac:dyDescent="0.2">
      <c r="A2" t="s">
        <v>49</v>
      </c>
      <c r="B2">
        <v>5.8</v>
      </c>
      <c r="C2">
        <v>6.1530119709941129</v>
      </c>
      <c r="D2">
        <v>6.0864132930019501</v>
      </c>
      <c r="E2">
        <v>3.6</v>
      </c>
      <c r="F2">
        <v>3.3053213623392192</v>
      </c>
      <c r="G2">
        <v>-8.1855177127994665</v>
      </c>
      <c r="H2">
        <v>9.4</v>
      </c>
      <c r="I2">
        <v>9.4583333333333321</v>
      </c>
      <c r="J2">
        <v>0.62056737588650845</v>
      </c>
      <c r="K2">
        <v>47.2</v>
      </c>
      <c r="L2">
        <v>46.821082487495104</v>
      </c>
      <c r="M2">
        <v>-0.80279134005275099</v>
      </c>
      <c r="N2">
        <v>32.200000000000003</v>
      </c>
      <c r="O2">
        <v>33.458333333333329</v>
      </c>
      <c r="P2">
        <v>3.9078674948239924</v>
      </c>
      <c r="Q2">
        <v>46.7</v>
      </c>
      <c r="R2">
        <v>54.400319523096123</v>
      </c>
      <c r="S2">
        <v>16.488906901704752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2">
      <c r="A3" t="s">
        <v>50</v>
      </c>
      <c r="B3">
        <v>3.9</v>
      </c>
      <c r="C3">
        <v>4.2586989042155974</v>
      </c>
      <c r="D3">
        <v>9.1974078003999349</v>
      </c>
      <c r="E3">
        <v>3.8</v>
      </c>
      <c r="F3">
        <v>3.5329677624510687</v>
      </c>
      <c r="G3">
        <v>-7.0271641460245036</v>
      </c>
      <c r="H3">
        <v>7.6999999999999993</v>
      </c>
      <c r="I3">
        <v>7.7916666666666661</v>
      </c>
      <c r="J3">
        <v>1.1904761904761922</v>
      </c>
      <c r="K3">
        <v>45.4</v>
      </c>
      <c r="L3">
        <v>45.742276575742039</v>
      </c>
      <c r="M3">
        <v>0.75391316242740247</v>
      </c>
      <c r="N3">
        <v>29.2</v>
      </c>
      <c r="O3">
        <v>32.875</v>
      </c>
      <c r="P3">
        <v>12.585616438356167</v>
      </c>
      <c r="Q3">
        <v>48.1</v>
      </c>
      <c r="R3">
        <v>56.110357770366917</v>
      </c>
      <c r="S3">
        <v>16.653550458143275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2">
      <c r="A4" t="s">
        <v>51</v>
      </c>
      <c r="B4">
        <v>7.7</v>
      </c>
      <c r="C4">
        <v>7.9185939391751052</v>
      </c>
      <c r="D4">
        <v>2.8388823269494163</v>
      </c>
      <c r="E4">
        <v>3.1</v>
      </c>
      <c r="F4">
        <v>2.9564060608248948</v>
      </c>
      <c r="G4">
        <v>-4.6320625540356559</v>
      </c>
      <c r="H4">
        <v>10.8</v>
      </c>
      <c r="I4">
        <v>10.875</v>
      </c>
      <c r="J4">
        <v>0.69444444444443776</v>
      </c>
      <c r="K4">
        <v>60.3</v>
      </c>
      <c r="L4">
        <v>60.164092443878062</v>
      </c>
      <c r="M4">
        <v>-0.22538566521050682</v>
      </c>
      <c r="N4">
        <v>33.200000000000003</v>
      </c>
      <c r="O4">
        <v>33.208333333333329</v>
      </c>
      <c r="P4">
        <v>2.5100401606402874E-2</v>
      </c>
      <c r="Q4">
        <v>51.1</v>
      </c>
      <c r="R4">
        <v>55.146338230758893</v>
      </c>
      <c r="S4">
        <v>7.9184701189019409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2">
      <c r="A5" t="s">
        <v>52</v>
      </c>
      <c r="B5">
        <v>6</v>
      </c>
      <c r="C5">
        <v>6.3856007315469663</v>
      </c>
      <c r="D5">
        <v>6.4266788591161044</v>
      </c>
      <c r="E5">
        <v>3.8</v>
      </c>
      <c r="F5">
        <v>3.4060659351196998</v>
      </c>
      <c r="G5">
        <v>-10.366685917902632</v>
      </c>
      <c r="H5">
        <v>9.8000000000000007</v>
      </c>
      <c r="I5">
        <v>9.7916666666666661</v>
      </c>
      <c r="J5">
        <v>-8.5034013605455469E-2</v>
      </c>
      <c r="K5">
        <v>48.2</v>
      </c>
      <c r="L5">
        <v>48.034195604097022</v>
      </c>
      <c r="M5">
        <v>-0.34399252262029278</v>
      </c>
      <c r="N5">
        <v>33.4</v>
      </c>
      <c r="O5">
        <v>35.625</v>
      </c>
      <c r="P5">
        <v>6.6616766467065904</v>
      </c>
      <c r="Q5">
        <v>45.7</v>
      </c>
      <c r="R5">
        <v>52.930681399043834</v>
      </c>
      <c r="S5">
        <v>15.822059954144049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2">
      <c r="A6" t="s">
        <v>53</v>
      </c>
      <c r="B6">
        <v>7.6</v>
      </c>
      <c r="C6">
        <v>7.8389835482927719</v>
      </c>
      <c r="D6">
        <v>3.1445203722733193</v>
      </c>
      <c r="E6">
        <v>2.2000000000000002</v>
      </c>
      <c r="F6">
        <v>2.2860164517072281</v>
      </c>
      <c r="G6">
        <v>3.909838713964906</v>
      </c>
      <c r="H6">
        <v>9.8000000000000007</v>
      </c>
      <c r="I6">
        <v>10.125</v>
      </c>
      <c r="J6">
        <v>3.3163265306122374</v>
      </c>
      <c r="K6">
        <v>73.2</v>
      </c>
      <c r="L6">
        <v>72.877090759669443</v>
      </c>
      <c r="M6">
        <v>-0.44113284198163932</v>
      </c>
      <c r="N6">
        <v>36.700000000000003</v>
      </c>
      <c r="O6">
        <v>33.708333333333329</v>
      </c>
      <c r="P6">
        <v>-8.1516802906448884</v>
      </c>
      <c r="Q6">
        <v>57.9</v>
      </c>
      <c r="R6">
        <v>61.582072095049575</v>
      </c>
      <c r="S6">
        <v>6.359364585577854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2">
      <c r="A7" t="s">
        <v>54</v>
      </c>
      <c r="B7">
        <v>5.8</v>
      </c>
      <c r="C7">
        <v>6.2016425482088735</v>
      </c>
      <c r="D7">
        <v>6.9248715208426503</v>
      </c>
      <c r="E7">
        <v>3.3</v>
      </c>
      <c r="F7">
        <v>3.0900241184577926</v>
      </c>
      <c r="G7">
        <v>-6.3629055012790081</v>
      </c>
      <c r="H7">
        <v>9.1</v>
      </c>
      <c r="I7">
        <v>9.2916666666666661</v>
      </c>
      <c r="J7">
        <v>2.1062271062271036</v>
      </c>
      <c r="K7">
        <v>43.5</v>
      </c>
      <c r="L7">
        <v>42.742691352651732</v>
      </c>
      <c r="M7">
        <v>-1.7409394191914194</v>
      </c>
      <c r="N7">
        <v>24.2</v>
      </c>
      <c r="O7">
        <v>24.541666666666664</v>
      </c>
      <c r="P7">
        <v>1.4118457300275415</v>
      </c>
      <c r="Q7">
        <v>46.6</v>
      </c>
      <c r="R7">
        <v>56.568365166657053</v>
      </c>
      <c r="S7">
        <v>21.391341559349893</v>
      </c>
      <c r="T7">
        <v>40.700000000000003</v>
      </c>
      <c r="U7">
        <v>36.590440681113833</v>
      </c>
      <c r="V7">
        <v>-4.1095593188861699</v>
      </c>
      <c r="W7">
        <v>71.400000000000006</v>
      </c>
      <c r="X7">
        <v>67.917038685190661</v>
      </c>
      <c r="Y7">
        <v>-3.4829613148093443</v>
      </c>
    </row>
    <row r="8" spans="1:25" x14ac:dyDescent="0.2">
      <c r="A8" t="s">
        <v>55</v>
      </c>
      <c r="B8">
        <v>6.5</v>
      </c>
      <c r="C8">
        <v>6.7623002524421514</v>
      </c>
      <c r="D8">
        <v>4.035388499110022</v>
      </c>
      <c r="E8">
        <v>3.6</v>
      </c>
      <c r="F8">
        <v>3.9460330808911808</v>
      </c>
      <c r="G8">
        <v>9.6120300247550183</v>
      </c>
      <c r="H8">
        <v>10.1</v>
      </c>
      <c r="I8">
        <v>10.708333333333332</v>
      </c>
      <c r="J8">
        <v>6.0231023102310148</v>
      </c>
      <c r="K8">
        <v>48.6</v>
      </c>
      <c r="L8">
        <v>48.54614463237975</v>
      </c>
      <c r="M8">
        <v>-0.11081351362191587</v>
      </c>
      <c r="N8">
        <v>31.2</v>
      </c>
      <c r="O8">
        <v>30.875</v>
      </c>
      <c r="P8">
        <v>-1.0416666666666643</v>
      </c>
      <c r="Q8">
        <v>44.7</v>
      </c>
      <c r="R8">
        <v>49.791157318653021</v>
      </c>
      <c r="S8">
        <v>11.389613688261784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2">
      <c r="A9" t="s">
        <v>56</v>
      </c>
      <c r="B9">
        <v>6</v>
      </c>
      <c r="C9">
        <v>6.2553933928209462</v>
      </c>
      <c r="D9">
        <v>4.2565565470157694</v>
      </c>
      <c r="E9">
        <v>2.5</v>
      </c>
      <c r="F9">
        <v>2.3696066071790538</v>
      </c>
      <c r="G9">
        <v>-5.2157357128378479</v>
      </c>
      <c r="H9">
        <v>8.5</v>
      </c>
      <c r="I9">
        <v>8.625</v>
      </c>
      <c r="J9">
        <v>1.4705882352941175</v>
      </c>
      <c r="K9">
        <v>54.7</v>
      </c>
      <c r="L9">
        <v>53.568445135328261</v>
      </c>
      <c r="M9">
        <v>-2.0686560597289612</v>
      </c>
      <c r="N9">
        <v>31.6</v>
      </c>
      <c r="O9">
        <v>30.125</v>
      </c>
      <c r="P9">
        <v>-4.6677215189873458</v>
      </c>
      <c r="Q9">
        <v>54.1</v>
      </c>
      <c r="R9">
        <v>61.503132436613221</v>
      </c>
      <c r="S9">
        <v>13.684163468785988</v>
      </c>
      <c r="T9">
        <v>6.9</v>
      </c>
      <c r="U9">
        <v>2.9398716306298951</v>
      </c>
      <c r="V9">
        <v>-3.9601283693701053</v>
      </c>
      <c r="W9">
        <v>42.8</v>
      </c>
      <c r="X9">
        <v>36.818522923821781</v>
      </c>
      <c r="Y9">
        <v>-5.9814770761782157</v>
      </c>
    </row>
    <row r="10" spans="1:25" x14ac:dyDescent="0.2">
      <c r="A10" t="s">
        <v>57</v>
      </c>
      <c r="B10">
        <v>5.8</v>
      </c>
      <c r="C10">
        <v>6.0647243726259674</v>
      </c>
      <c r="D10">
        <v>4.5642133211373723</v>
      </c>
      <c r="E10">
        <v>2.8</v>
      </c>
      <c r="F10">
        <v>2.5602756273740326</v>
      </c>
      <c r="G10">
        <v>-8.561584736641688</v>
      </c>
      <c r="H10">
        <v>8.6</v>
      </c>
      <c r="I10">
        <v>8.625</v>
      </c>
      <c r="J10">
        <v>0.29069767441860883</v>
      </c>
      <c r="K10">
        <v>51.3</v>
      </c>
      <c r="L10">
        <v>50.515521486598729</v>
      </c>
      <c r="M10">
        <v>-1.5291978818738172</v>
      </c>
      <c r="N10">
        <v>25.5</v>
      </c>
      <c r="O10">
        <v>25.541666666666664</v>
      </c>
      <c r="P10">
        <v>0.16339869281044822</v>
      </c>
      <c r="Q10">
        <v>43.4</v>
      </c>
      <c r="R10">
        <v>60.019115350608381</v>
      </c>
      <c r="S10">
        <v>38.292892512922535</v>
      </c>
      <c r="T10">
        <v>36.799999999999997</v>
      </c>
      <c r="U10">
        <v>32.442689344954815</v>
      </c>
      <c r="V10">
        <v>-4.3573106550451826</v>
      </c>
      <c r="W10">
        <v>69.2</v>
      </c>
      <c r="X10">
        <v>65.411908140376028</v>
      </c>
      <c r="Y10">
        <v>-3.7880918596239752</v>
      </c>
    </row>
    <row r="11" spans="1:25" x14ac:dyDescent="0.2">
      <c r="A11" t="s">
        <v>58</v>
      </c>
      <c r="B11">
        <v>6.1</v>
      </c>
      <c r="C11">
        <v>6.3947836950727899</v>
      </c>
      <c r="D11">
        <v>4.832519591357217</v>
      </c>
      <c r="E11">
        <v>4.8</v>
      </c>
      <c r="F11">
        <v>4.3968829715938762</v>
      </c>
      <c r="G11">
        <v>-8.398271425127577</v>
      </c>
      <c r="H11">
        <v>10.899999999999999</v>
      </c>
      <c r="I11">
        <v>10.791666666666666</v>
      </c>
      <c r="J11">
        <v>-0.99388379204892219</v>
      </c>
      <c r="K11">
        <v>41.1</v>
      </c>
      <c r="L11">
        <v>40.77478090842574</v>
      </c>
      <c r="M11">
        <v>-0.7912873274312936</v>
      </c>
      <c r="N11">
        <v>31.2</v>
      </c>
      <c r="O11">
        <v>32.541666666666664</v>
      </c>
      <c r="P11">
        <v>4.3002136752136702</v>
      </c>
      <c r="Q11">
        <v>41</v>
      </c>
      <c r="R11">
        <v>47.886995580579658</v>
      </c>
      <c r="S11">
        <v>16.797550196535752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2">
      <c r="A12" t="s">
        <v>59</v>
      </c>
      <c r="B12">
        <v>6.2</v>
      </c>
      <c r="C12">
        <v>6.448701560504956</v>
      </c>
      <c r="D12">
        <v>4.0113154920154166</v>
      </c>
      <c r="E12">
        <v>2.9</v>
      </c>
      <c r="F12">
        <v>2.7596317728283761</v>
      </c>
      <c r="G12">
        <v>-4.840283695573234</v>
      </c>
      <c r="H12">
        <v>9.1</v>
      </c>
      <c r="I12">
        <v>9.2083333333333321</v>
      </c>
      <c r="J12">
        <v>1.1904761904761814</v>
      </c>
      <c r="K12">
        <v>51</v>
      </c>
      <c r="L12">
        <v>50.137454271996191</v>
      </c>
      <c r="M12">
        <v>-1.6912661333408023</v>
      </c>
      <c r="N12">
        <v>27.2</v>
      </c>
      <c r="O12">
        <v>26.375</v>
      </c>
      <c r="P12">
        <v>-3.0330882352941151</v>
      </c>
      <c r="Q12">
        <v>50.1</v>
      </c>
      <c r="R12">
        <v>58.222303889454906</v>
      </c>
      <c r="S12">
        <v>16.212183412085636</v>
      </c>
      <c r="T12">
        <v>20.5</v>
      </c>
      <c r="U12">
        <v>15.528904186533751</v>
      </c>
      <c r="V12">
        <v>-4.9710958134662491</v>
      </c>
      <c r="W12">
        <v>59.2</v>
      </c>
      <c r="X12">
        <v>54.245565621824475</v>
      </c>
      <c r="Y12">
        <v>-4.9544343781755273</v>
      </c>
    </row>
    <row r="13" spans="1:25" x14ac:dyDescent="0.2">
      <c r="A13" t="s">
        <v>60</v>
      </c>
      <c r="B13">
        <v>5.7</v>
      </c>
      <c r="C13">
        <v>5.9523653966954928</v>
      </c>
      <c r="D13">
        <v>4.4274630999209235</v>
      </c>
      <c r="E13">
        <v>2.8</v>
      </c>
      <c r="F13">
        <v>2.5893012699711733</v>
      </c>
      <c r="G13">
        <v>-7.5249546438866624</v>
      </c>
      <c r="H13">
        <v>8.5</v>
      </c>
      <c r="I13">
        <v>8.5416666666666661</v>
      </c>
      <c r="J13">
        <v>0.49019607843136559</v>
      </c>
      <c r="K13">
        <v>36.799999999999997</v>
      </c>
      <c r="L13">
        <v>36.419124705283821</v>
      </c>
      <c r="M13">
        <v>-1.0349872139026535</v>
      </c>
      <c r="N13">
        <v>16.3</v>
      </c>
      <c r="O13">
        <v>17.208333333333332</v>
      </c>
      <c r="P13">
        <v>5.572597137014303</v>
      </c>
      <c r="Q13">
        <v>53.7</v>
      </c>
      <c r="R13">
        <v>60.414400856863402</v>
      </c>
      <c r="S13">
        <v>12.503539770695344</v>
      </c>
      <c r="T13">
        <v>73.7</v>
      </c>
      <c r="U13">
        <v>69.045748041083471</v>
      </c>
      <c r="V13">
        <v>-4.6542519589165323</v>
      </c>
      <c r="W13">
        <v>87.3</v>
      </c>
      <c r="X13">
        <v>84.330048532846718</v>
      </c>
      <c r="Y13">
        <v>-2.9699514671532796</v>
      </c>
    </row>
    <row r="14" spans="1:25" x14ac:dyDescent="0.2">
      <c r="A14" t="s">
        <v>61</v>
      </c>
      <c r="B14">
        <v>5.8</v>
      </c>
      <c r="C14">
        <v>6.0723794753361986</v>
      </c>
      <c r="D14">
        <v>4.6961978506241167</v>
      </c>
      <c r="E14">
        <v>3.4</v>
      </c>
      <c r="F14">
        <v>3.1359538579971336</v>
      </c>
      <c r="G14">
        <v>-7.7660630000843041</v>
      </c>
      <c r="H14">
        <v>9.1999999999999993</v>
      </c>
      <c r="I14">
        <v>9.2083333333333321</v>
      </c>
      <c r="J14">
        <v>9.0579710144922401E-2</v>
      </c>
      <c r="K14">
        <v>49.3</v>
      </c>
      <c r="L14">
        <v>49.542858102982066</v>
      </c>
      <c r="M14">
        <v>0.49261278495348709</v>
      </c>
      <c r="N14">
        <v>34.299999999999997</v>
      </c>
      <c r="O14">
        <v>37.541666666666664</v>
      </c>
      <c r="P14">
        <v>9.4509232264334333</v>
      </c>
      <c r="Q14">
        <v>49.5</v>
      </c>
      <c r="R14">
        <v>55.524298148375323</v>
      </c>
      <c r="S14">
        <v>12.170299289647117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2">
      <c r="A15" t="s">
        <v>62</v>
      </c>
      <c r="B15">
        <v>5.8</v>
      </c>
      <c r="C15">
        <v>6.060147027833743</v>
      </c>
      <c r="D15">
        <v>4.4852935833404004</v>
      </c>
      <c r="E15">
        <v>2.8</v>
      </c>
      <c r="F15">
        <v>2.731519638832923</v>
      </c>
      <c r="G15">
        <v>-2.4457271845384567</v>
      </c>
      <c r="H15">
        <v>8.6</v>
      </c>
      <c r="I15">
        <v>8.7916666666666661</v>
      </c>
      <c r="J15">
        <v>2.228682170542633</v>
      </c>
      <c r="K15">
        <v>57.5</v>
      </c>
      <c r="L15">
        <v>57.750753780619434</v>
      </c>
      <c r="M15">
        <v>0.43609353151205832</v>
      </c>
      <c r="N15">
        <v>36.700000000000003</v>
      </c>
      <c r="O15">
        <v>40.208333333333329</v>
      </c>
      <c r="P15">
        <v>9.5594913714804512</v>
      </c>
      <c r="Q15">
        <v>53.6</v>
      </c>
      <c r="R15">
        <v>58.651322158868226</v>
      </c>
      <c r="S15">
        <v>9.424108505351164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2">
      <c r="A16" t="s">
        <v>63</v>
      </c>
      <c r="B16">
        <v>5.9</v>
      </c>
      <c r="C16">
        <v>6.2293441191819179</v>
      </c>
      <c r="D16">
        <v>5.5821037149477544</v>
      </c>
      <c r="E16">
        <v>2.8</v>
      </c>
      <c r="F16">
        <v>2.6456558808180821</v>
      </c>
      <c r="G16">
        <v>-5.5122899707827759</v>
      </c>
      <c r="H16">
        <v>8.6999999999999993</v>
      </c>
      <c r="I16">
        <v>8.875</v>
      </c>
      <c r="J16">
        <v>2.0114942528735713</v>
      </c>
      <c r="K16">
        <v>54.7</v>
      </c>
      <c r="L16">
        <v>54.021678753592354</v>
      </c>
      <c r="M16">
        <v>-1.2400754047671818</v>
      </c>
      <c r="N16">
        <v>33.799999999999997</v>
      </c>
      <c r="O16">
        <v>33.875</v>
      </c>
      <c r="P16">
        <v>0.22189349112426876</v>
      </c>
      <c r="Q16">
        <v>51.5</v>
      </c>
      <c r="R16">
        <v>58.935377402777803</v>
      </c>
      <c r="S16">
        <v>14.437626024811268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2">
      <c r="A17" t="s">
        <v>64</v>
      </c>
      <c r="B17">
        <v>6.6</v>
      </c>
      <c r="C17">
        <v>6.9248548166118606</v>
      </c>
      <c r="D17">
        <v>4.9220426759372877</v>
      </c>
      <c r="E17">
        <v>3.2</v>
      </c>
      <c r="F17">
        <v>3.4501451833881394</v>
      </c>
      <c r="G17">
        <v>7.8170369808793492</v>
      </c>
      <c r="H17">
        <v>9.8000000000000007</v>
      </c>
      <c r="I17">
        <v>10.375</v>
      </c>
      <c r="J17">
        <v>5.8673469387755031</v>
      </c>
      <c r="K17">
        <v>56.7</v>
      </c>
      <c r="L17">
        <v>56.962885074145916</v>
      </c>
      <c r="M17">
        <v>0.46364210607744832</v>
      </c>
      <c r="N17">
        <v>35.1</v>
      </c>
      <c r="O17">
        <v>33.791666666666664</v>
      </c>
      <c r="P17">
        <v>-3.7274453941120713</v>
      </c>
      <c r="Q17">
        <v>49.8</v>
      </c>
      <c r="R17">
        <v>52.516013377163773</v>
      </c>
      <c r="S17">
        <v>5.4538421228188279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2">
      <c r="A18" t="s">
        <v>65</v>
      </c>
      <c r="B18">
        <v>5.8</v>
      </c>
      <c r="C18">
        <v>6.1425533983934608</v>
      </c>
      <c r="D18">
        <v>5.9060930757493271</v>
      </c>
      <c r="E18">
        <v>3.2</v>
      </c>
      <c r="F18">
        <v>2.9824466016065392</v>
      </c>
      <c r="G18">
        <v>-6.7985436997956565</v>
      </c>
      <c r="H18">
        <v>9</v>
      </c>
      <c r="I18">
        <v>9.125</v>
      </c>
      <c r="J18">
        <v>1.3888888888888888</v>
      </c>
      <c r="K18">
        <v>51.7</v>
      </c>
      <c r="L18">
        <v>51.159784009496036</v>
      </c>
      <c r="M18">
        <v>-1.0449052040695681</v>
      </c>
      <c r="N18">
        <v>35</v>
      </c>
      <c r="O18">
        <v>35.875</v>
      </c>
      <c r="P18">
        <v>2.5</v>
      </c>
      <c r="Q18">
        <v>50.1</v>
      </c>
      <c r="R18">
        <v>56.592787287779636</v>
      </c>
      <c r="S18">
        <v>12.959655265029211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2">
      <c r="A19" t="s">
        <v>66</v>
      </c>
      <c r="B19">
        <v>5.8</v>
      </c>
      <c r="C19">
        <v>6.0341113300257536</v>
      </c>
      <c r="D19">
        <v>4.0364022418233416</v>
      </c>
      <c r="E19">
        <v>2.8</v>
      </c>
      <c r="F19">
        <v>2.5908886699742464</v>
      </c>
      <c r="G19">
        <v>-7.4682617866340522</v>
      </c>
      <c r="H19">
        <v>8.6</v>
      </c>
      <c r="I19">
        <v>8.625</v>
      </c>
      <c r="J19">
        <v>0.29069767441860883</v>
      </c>
      <c r="K19">
        <v>50.4</v>
      </c>
      <c r="L19">
        <v>49.227583091807105</v>
      </c>
      <c r="M19">
        <v>-2.3262240241922489</v>
      </c>
      <c r="N19">
        <v>29.7</v>
      </c>
      <c r="O19">
        <v>27.541666666666664</v>
      </c>
      <c r="P19">
        <v>-7.2671156004489399</v>
      </c>
      <c r="Q19">
        <v>53.3</v>
      </c>
      <c r="R19">
        <v>59.761209701636879</v>
      </c>
      <c r="S19">
        <v>12.122344655979141</v>
      </c>
      <c r="T19">
        <v>22.1</v>
      </c>
      <c r="U19">
        <v>13.350198584811992</v>
      </c>
      <c r="V19">
        <v>-8.7498014151880099</v>
      </c>
      <c r="W19">
        <v>60.5</v>
      </c>
      <c r="X19">
        <v>52.95115914629163</v>
      </c>
      <c r="Y19">
        <v>-7.54884085370837</v>
      </c>
    </row>
    <row r="20" spans="1:25" x14ac:dyDescent="0.2">
      <c r="A20" t="s">
        <v>67</v>
      </c>
      <c r="B20">
        <v>6.1</v>
      </c>
      <c r="C20">
        <v>6.387195380146971</v>
      </c>
      <c r="D20">
        <v>4.7081209860159232</v>
      </c>
      <c r="E20">
        <v>2.8</v>
      </c>
      <c r="F20">
        <v>2.5711379531863612</v>
      </c>
      <c r="G20">
        <v>-8.1736445290585245</v>
      </c>
      <c r="H20">
        <v>8.8999999999999986</v>
      </c>
      <c r="I20">
        <v>8.9583333333333321</v>
      </c>
      <c r="J20">
        <v>0.6554307116104896</v>
      </c>
      <c r="K20">
        <v>59</v>
      </c>
      <c r="L20">
        <v>58.477034821095046</v>
      </c>
      <c r="M20">
        <v>-0.88638165916093914</v>
      </c>
      <c r="N20">
        <v>34.200000000000003</v>
      </c>
      <c r="O20">
        <v>35.291666666666664</v>
      </c>
      <c r="P20">
        <v>3.1920077972709398</v>
      </c>
      <c r="Q20">
        <v>54.1</v>
      </c>
      <c r="R20">
        <v>59.921855925118535</v>
      </c>
      <c r="S20">
        <v>10.761286368056441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2">
      <c r="A21" t="s">
        <v>68</v>
      </c>
      <c r="B21">
        <v>5.5</v>
      </c>
      <c r="C21">
        <v>5.7436518318128211</v>
      </c>
      <c r="D21">
        <v>4.4300333056876573</v>
      </c>
      <c r="E21">
        <v>2.4</v>
      </c>
      <c r="F21">
        <v>2.2980148348538449</v>
      </c>
      <c r="G21">
        <v>-4.249381881089791</v>
      </c>
      <c r="H21">
        <v>7.9</v>
      </c>
      <c r="I21">
        <v>8.0416666666666661</v>
      </c>
      <c r="J21">
        <v>1.7932489451476672</v>
      </c>
      <c r="K21">
        <v>41.4</v>
      </c>
      <c r="L21">
        <v>40.949273919223614</v>
      </c>
      <c r="M21">
        <v>-1.0887103400395755</v>
      </c>
      <c r="N21">
        <v>16.2</v>
      </c>
      <c r="O21">
        <v>16.958333333333332</v>
      </c>
      <c r="P21">
        <v>4.6810699588477345</v>
      </c>
      <c r="Q21">
        <v>53.4</v>
      </c>
      <c r="R21">
        <v>63.132206509552049</v>
      </c>
      <c r="S21">
        <v>18.22510582313118</v>
      </c>
      <c r="T21">
        <v>75.900000000000006</v>
      </c>
      <c r="U21">
        <v>70.500422239668438</v>
      </c>
      <c r="V21">
        <v>-5.3995777603315673</v>
      </c>
      <c r="W21">
        <v>88.3</v>
      </c>
      <c r="X21">
        <v>85.01906152366476</v>
      </c>
      <c r="Y21">
        <v>-3.2809384763352369</v>
      </c>
    </row>
    <row r="22" spans="1:25" x14ac:dyDescent="0.2">
      <c r="A22" t="s">
        <v>69</v>
      </c>
      <c r="B22">
        <v>6.1</v>
      </c>
      <c r="C22">
        <v>6.2900116431099278</v>
      </c>
      <c r="D22">
        <v>3.1149449690152151</v>
      </c>
      <c r="E22">
        <v>3.2</v>
      </c>
      <c r="F22">
        <v>3.1683216902234044</v>
      </c>
      <c r="G22">
        <v>-0.98994718051861885</v>
      </c>
      <c r="H22">
        <v>9.3000000000000007</v>
      </c>
      <c r="I22">
        <v>9.4583333333333321</v>
      </c>
      <c r="J22">
        <v>1.7025089605734562</v>
      </c>
      <c r="K22">
        <v>43.9</v>
      </c>
      <c r="L22">
        <v>43.088351190232643</v>
      </c>
      <c r="M22">
        <v>-1.8488583365998985</v>
      </c>
      <c r="N22">
        <v>25.4</v>
      </c>
      <c r="O22">
        <v>23.541666666666664</v>
      </c>
      <c r="P22">
        <v>-7.3162729658792696</v>
      </c>
      <c r="Q22">
        <v>46</v>
      </c>
      <c r="R22">
        <v>55.375531355138804</v>
      </c>
      <c r="S22">
        <v>20.38158990247566</v>
      </c>
      <c r="T22">
        <v>45.2</v>
      </c>
      <c r="U22">
        <v>33.70069392208751</v>
      </c>
      <c r="V22">
        <v>-11.499306077912493</v>
      </c>
      <c r="W22">
        <v>73.599999999999994</v>
      </c>
      <c r="X22">
        <v>66.326569959168111</v>
      </c>
      <c r="Y22">
        <v>-7.273430040831883</v>
      </c>
    </row>
    <row r="23" spans="1:25" x14ac:dyDescent="0.2">
      <c r="A23" t="s">
        <v>70</v>
      </c>
      <c r="B23">
        <v>6.1</v>
      </c>
      <c r="C23">
        <v>6.3002624468379107</v>
      </c>
      <c r="D23">
        <v>3.2829909317690338</v>
      </c>
      <c r="E23">
        <v>3.2</v>
      </c>
      <c r="F23">
        <v>3.0747375531620893</v>
      </c>
      <c r="G23">
        <v>-3.9144514636847152</v>
      </c>
      <c r="H23">
        <v>9.3000000000000007</v>
      </c>
      <c r="I23">
        <v>9.375</v>
      </c>
      <c r="J23">
        <v>0.80645161290321821</v>
      </c>
      <c r="K23">
        <v>53.1</v>
      </c>
      <c r="L23">
        <v>53.041246422205745</v>
      </c>
      <c r="M23">
        <v>-0.11064703916055796</v>
      </c>
      <c r="N23">
        <v>34</v>
      </c>
      <c r="O23">
        <v>36.875</v>
      </c>
      <c r="P23">
        <v>8.4558823529411775</v>
      </c>
      <c r="Q23">
        <v>48.8</v>
      </c>
      <c r="R23">
        <v>55.683529686133447</v>
      </c>
      <c r="S23">
        <v>14.105593619125923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5" spans="1:25" x14ac:dyDescent="0.2">
      <c r="D25">
        <f>AVERAGE(D2:D23)</f>
        <v>4.8141115480931882</v>
      </c>
    </row>
    <row r="26" spans="1:25" x14ac:dyDescent="0.2">
      <c r="D26">
        <f>_xlfn.STDEV.S(D2:D23)</f>
        <v>1.4517939070690102</v>
      </c>
    </row>
    <row r="27" spans="1:25" x14ac:dyDescent="0.2">
      <c r="D27" cm="1">
        <f t="array" ref="D27">_xlfn.STDEV.S(ABS(D2:D23))</f>
        <v>1.4517939070690102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23"/>
  <sheetViews>
    <sheetView workbookViewId="0">
      <selection activeCell="A2" sqref="A2:Y23"/>
    </sheetView>
  </sheetViews>
  <sheetFormatPr baseColWidth="10" defaultColWidth="8.83203125" defaultRowHeight="15" x14ac:dyDescent="0.2"/>
  <cols>
    <col min="1" max="1" width="9.6640625" customWidth="1"/>
    <col min="2" max="2" width="16.33203125" customWidth="1"/>
    <col min="3" max="3" width="22.33203125" customWidth="1"/>
    <col min="4" max="4" width="20" customWidth="1"/>
    <col min="5" max="5" width="16.33203125" customWidth="1"/>
    <col min="6" max="6" width="22.33203125" customWidth="1"/>
    <col min="7" max="7" width="20" customWidth="1"/>
    <col min="8" max="8" width="18.5" customWidth="1"/>
    <col min="9" max="9" width="24.5" customWidth="1"/>
    <col min="10" max="10" width="22.1640625" customWidth="1"/>
    <col min="11" max="11" width="13.5" customWidth="1"/>
    <col min="12" max="12" width="19.5" customWidth="1"/>
    <col min="13" max="13" width="21.83203125" customWidth="1"/>
    <col min="14" max="14" width="14.5" customWidth="1"/>
    <col min="15" max="15" width="20.5" customWidth="1"/>
    <col min="16" max="16" width="22.83203125" customWidth="1"/>
    <col min="17" max="17" width="15.5" customWidth="1"/>
    <col min="18" max="18" width="21.5" customWidth="1"/>
    <col min="19" max="19" width="24" customWidth="1"/>
    <col min="20" max="20" width="12.5" customWidth="1"/>
    <col min="21" max="21" width="18.5" customWidth="1"/>
    <col min="22" max="22" width="22.6640625" customWidth="1"/>
    <col min="23" max="23" width="12.5" customWidth="1"/>
    <col min="24" max="24" width="18.5" customWidth="1"/>
    <col min="25" max="25" width="22.6640625" customWidth="1"/>
  </cols>
  <sheetData>
    <row r="1" spans="1:25" x14ac:dyDescent="0.2">
      <c r="A1" t="s">
        <v>95</v>
      </c>
      <c r="B1" t="s">
        <v>118</v>
      </c>
      <c r="C1" t="s">
        <v>119</v>
      </c>
      <c r="D1" t="s">
        <v>120</v>
      </c>
      <c r="E1" t="s">
        <v>121</v>
      </c>
      <c r="F1" t="s">
        <v>122</v>
      </c>
      <c r="G1" t="s">
        <v>123</v>
      </c>
      <c r="H1" t="s">
        <v>124</v>
      </c>
      <c r="I1" t="s">
        <v>125</v>
      </c>
      <c r="J1" t="s">
        <v>126</v>
      </c>
      <c r="K1" t="s">
        <v>127</v>
      </c>
      <c r="L1" t="s">
        <v>128</v>
      </c>
      <c r="M1" t="s">
        <v>129</v>
      </c>
      <c r="N1" t="s">
        <v>130</v>
      </c>
      <c r="O1" t="s">
        <v>131</v>
      </c>
      <c r="P1" t="s">
        <v>132</v>
      </c>
      <c r="Q1" t="s">
        <v>133</v>
      </c>
      <c r="R1" t="s">
        <v>134</v>
      </c>
      <c r="S1" t="s">
        <v>135</v>
      </c>
      <c r="T1" t="s">
        <v>136</v>
      </c>
      <c r="U1" t="s">
        <v>137</v>
      </c>
      <c r="V1" t="s">
        <v>138</v>
      </c>
      <c r="W1" t="s">
        <v>139</v>
      </c>
      <c r="X1" t="s">
        <v>140</v>
      </c>
      <c r="Y1" t="s">
        <v>141</v>
      </c>
    </row>
    <row r="2" spans="1:25" x14ac:dyDescent="0.2">
      <c r="A2" t="s">
        <v>96</v>
      </c>
      <c r="B2">
        <v>8.1999999999999993</v>
      </c>
      <c r="C2">
        <v>8.5147493774901228</v>
      </c>
      <c r="D2">
        <v>3.8384070425624826</v>
      </c>
      <c r="E2">
        <v>4.5</v>
      </c>
      <c r="F2">
        <v>4.1102506225098772</v>
      </c>
      <c r="G2">
        <v>-8.6610972775582855</v>
      </c>
      <c r="H2">
        <v>12.7</v>
      </c>
      <c r="I2">
        <v>12.625</v>
      </c>
      <c r="J2">
        <v>-0.5905511811023566</v>
      </c>
      <c r="K2">
        <v>34.9</v>
      </c>
      <c r="L2">
        <v>34.853353020331774</v>
      </c>
      <c r="M2">
        <v>-0.13365896753072989</v>
      </c>
      <c r="N2">
        <v>32.1</v>
      </c>
      <c r="O2">
        <v>35.541666666666664</v>
      </c>
      <c r="P2">
        <v>10.721703011422626</v>
      </c>
      <c r="Q2">
        <v>23.6</v>
      </c>
      <c r="R2">
        <v>49.161227410796535</v>
      </c>
      <c r="S2">
        <v>108.31028563896837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2">
      <c r="A3" t="s">
        <v>97</v>
      </c>
      <c r="B3">
        <v>8.1999999999999993</v>
      </c>
      <c r="C3">
        <v>8.656100312417994</v>
      </c>
      <c r="D3">
        <v>5.5621989319267655</v>
      </c>
      <c r="E3">
        <v>6.5</v>
      </c>
      <c r="F3">
        <v>5.468899687582006</v>
      </c>
      <c r="G3">
        <v>-15.8630817295076</v>
      </c>
      <c r="H3">
        <v>14.7</v>
      </c>
      <c r="I3">
        <v>14.125</v>
      </c>
      <c r="J3">
        <v>-3.9115646258503354</v>
      </c>
      <c r="K3">
        <v>32</v>
      </c>
      <c r="L3">
        <v>31.963245051410844</v>
      </c>
      <c r="M3">
        <v>-0.11485921434111201</v>
      </c>
      <c r="N3">
        <v>31.2</v>
      </c>
      <c r="O3">
        <v>35.375</v>
      </c>
      <c r="P3">
        <v>13.381410256410259</v>
      </c>
      <c r="Q3">
        <v>39.299999999999997</v>
      </c>
      <c r="R3">
        <v>44.274968682586469</v>
      </c>
      <c r="S3">
        <v>12.658953390805273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2">
      <c r="A4" t="s">
        <v>98</v>
      </c>
      <c r="B4">
        <v>10.8</v>
      </c>
      <c r="C4">
        <v>11.083100680188739</v>
      </c>
      <c r="D4">
        <v>2.62130259434017</v>
      </c>
      <c r="E4">
        <v>2.6</v>
      </c>
      <c r="F4">
        <v>2.7918993198112609</v>
      </c>
      <c r="G4">
        <v>7.3807430696638781</v>
      </c>
      <c r="H4">
        <v>13.4</v>
      </c>
      <c r="I4">
        <v>13.875</v>
      </c>
      <c r="J4">
        <v>3.5447761194029823</v>
      </c>
      <c r="K4">
        <v>68.7</v>
      </c>
      <c r="L4">
        <v>69.121661940737539</v>
      </c>
      <c r="M4">
        <v>0.61377283950150818</v>
      </c>
      <c r="N4">
        <v>39.9</v>
      </c>
      <c r="O4">
        <v>39.958333333333329</v>
      </c>
      <c r="P4">
        <v>0.14619883040934842</v>
      </c>
      <c r="Q4">
        <v>53.6</v>
      </c>
      <c r="R4">
        <v>52.223668471887571</v>
      </c>
      <c r="S4">
        <v>-2.5677827017022961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2">
      <c r="A5" t="s">
        <v>99</v>
      </c>
      <c r="B5">
        <v>7.3</v>
      </c>
      <c r="C5">
        <v>7.5904216968560103</v>
      </c>
      <c r="D5">
        <v>3.9783794089864455</v>
      </c>
      <c r="E5">
        <v>2.8</v>
      </c>
      <c r="F5">
        <v>2.7012449698106558</v>
      </c>
      <c r="G5">
        <v>-3.5269653639051457</v>
      </c>
      <c r="H5">
        <v>10.1</v>
      </c>
      <c r="I5">
        <v>10.291666666666666</v>
      </c>
      <c r="J5">
        <v>1.8976897689768952</v>
      </c>
      <c r="K5">
        <v>43.4</v>
      </c>
      <c r="L5">
        <v>43.933897468368073</v>
      </c>
      <c r="M5">
        <v>1.2301784985439508</v>
      </c>
      <c r="N5">
        <v>37.799999999999997</v>
      </c>
      <c r="O5">
        <v>43.208333333333329</v>
      </c>
      <c r="P5">
        <v>14.307760141093469</v>
      </c>
      <c r="Q5">
        <v>53.5</v>
      </c>
      <c r="R5">
        <v>56.96970160677531</v>
      </c>
      <c r="S5">
        <v>6.4854235640659992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2">
      <c r="A6" t="s">
        <v>100</v>
      </c>
      <c r="B6">
        <v>7.6</v>
      </c>
      <c r="C6">
        <v>7.8914540343907689</v>
      </c>
      <c r="D6">
        <v>3.8349215051417</v>
      </c>
      <c r="E6">
        <v>2.9</v>
      </c>
      <c r="F6">
        <v>2.9002126322758972</v>
      </c>
      <c r="G6">
        <v>7.3321474447343238E-3</v>
      </c>
      <c r="H6">
        <v>10.5</v>
      </c>
      <c r="I6">
        <v>10.791666666666666</v>
      </c>
      <c r="J6">
        <v>2.7777777777777719</v>
      </c>
      <c r="K6">
        <v>47.5</v>
      </c>
      <c r="L6">
        <v>48.142547664333371</v>
      </c>
      <c r="M6">
        <v>1.3527319249123599</v>
      </c>
      <c r="N6">
        <v>39.1</v>
      </c>
      <c r="O6">
        <v>45.208333333333336</v>
      </c>
      <c r="P6">
        <v>15.622335890878091</v>
      </c>
      <c r="Q6">
        <v>52.9</v>
      </c>
      <c r="R6">
        <v>54.602216565218356</v>
      </c>
      <c r="S6">
        <v>3.2178006903938705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2">
      <c r="A7" t="s">
        <v>101</v>
      </c>
      <c r="B7">
        <v>7.2</v>
      </c>
      <c r="C7">
        <v>7.5513403133221297</v>
      </c>
      <c r="D7">
        <v>4.8797265739184654</v>
      </c>
      <c r="E7">
        <v>2.5</v>
      </c>
      <c r="F7">
        <v>2.2403263533445363</v>
      </c>
      <c r="G7">
        <v>-10.386945866218547</v>
      </c>
      <c r="H7">
        <v>9.6999999999999993</v>
      </c>
      <c r="I7">
        <v>9.7916666666666661</v>
      </c>
      <c r="J7">
        <v>0.9450171821305855</v>
      </c>
      <c r="K7">
        <v>39.200000000000003</v>
      </c>
      <c r="L7">
        <v>38.60155537811206</v>
      </c>
      <c r="M7">
        <v>-1.5266444435916904</v>
      </c>
      <c r="N7">
        <v>26.1</v>
      </c>
      <c r="O7">
        <v>26.125</v>
      </c>
      <c r="P7">
        <v>9.5785440613021369E-2</v>
      </c>
      <c r="Q7">
        <v>55.8</v>
      </c>
      <c r="R7">
        <v>60.180523136562307</v>
      </c>
      <c r="S7">
        <v>7.8503998863123838</v>
      </c>
      <c r="T7">
        <v>37.799999999999997</v>
      </c>
      <c r="U7">
        <v>33.30936131970978</v>
      </c>
      <c r="V7">
        <v>-4.4906386802902176</v>
      </c>
      <c r="W7">
        <v>69.5</v>
      </c>
      <c r="X7">
        <v>65.649505838873807</v>
      </c>
      <c r="Y7">
        <v>-3.8504941611261927</v>
      </c>
    </row>
    <row r="8" spans="1:25" x14ac:dyDescent="0.2">
      <c r="A8" t="s">
        <v>102</v>
      </c>
      <c r="B8">
        <v>7.4</v>
      </c>
      <c r="C8">
        <v>7.8696579173501995</v>
      </c>
      <c r="D8">
        <v>6.3467286128405282</v>
      </c>
      <c r="E8">
        <v>3.2</v>
      </c>
      <c r="F8">
        <v>2.8386754159831327</v>
      </c>
      <c r="G8">
        <v>-11.29139325052711</v>
      </c>
      <c r="H8">
        <v>10.600000000000001</v>
      </c>
      <c r="I8">
        <v>10.708333333333332</v>
      </c>
      <c r="J8">
        <v>1.0220125786163274</v>
      </c>
      <c r="K8">
        <v>33.200000000000003</v>
      </c>
      <c r="L8">
        <v>32.690834255353515</v>
      </c>
      <c r="M8">
        <v>-1.5336317609833972</v>
      </c>
      <c r="N8">
        <v>23.8</v>
      </c>
      <c r="O8">
        <v>24.541666666666664</v>
      </c>
      <c r="P8">
        <v>3.1162464985994265</v>
      </c>
      <c r="Q8">
        <v>54.8</v>
      </c>
      <c r="R8">
        <v>57.891549274964433</v>
      </c>
      <c r="S8">
        <v>5.6415132754825477</v>
      </c>
      <c r="T8">
        <v>48.6</v>
      </c>
      <c r="U8">
        <v>45.275187865785817</v>
      </c>
      <c r="V8">
        <v>-3.3248121342141843</v>
      </c>
      <c r="W8">
        <v>75.099999999999994</v>
      </c>
      <c r="X8">
        <v>72.156885538532634</v>
      </c>
      <c r="Y8">
        <v>-2.9431144614673599</v>
      </c>
    </row>
    <row r="9" spans="1:25" x14ac:dyDescent="0.2">
      <c r="A9" t="s">
        <v>103</v>
      </c>
      <c r="B9">
        <v>8</v>
      </c>
      <c r="C9">
        <v>8.3568014218006912</v>
      </c>
      <c r="D9">
        <v>4.4600177725086398</v>
      </c>
      <c r="E9">
        <v>3.8</v>
      </c>
      <c r="F9">
        <v>3.351531911532641</v>
      </c>
      <c r="G9">
        <v>-11.801791801772604</v>
      </c>
      <c r="H9">
        <v>11.8</v>
      </c>
      <c r="I9">
        <v>11.708333333333332</v>
      </c>
      <c r="J9">
        <v>-0.77683615819210639</v>
      </c>
      <c r="K9">
        <v>38.799999999999997</v>
      </c>
      <c r="L9">
        <v>38.720647758788324</v>
      </c>
      <c r="M9">
        <v>-0.20451608559709525</v>
      </c>
      <c r="N9">
        <v>34.6</v>
      </c>
      <c r="O9">
        <v>37.041666666666664</v>
      </c>
      <c r="P9">
        <v>7.0568400770712802</v>
      </c>
      <c r="Q9">
        <v>49.1</v>
      </c>
      <c r="R9">
        <v>52.360852218745485</v>
      </c>
      <c r="S9">
        <v>6.6412468813553645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2">
      <c r="A10" t="s">
        <v>104</v>
      </c>
      <c r="B10">
        <v>8.1999999999999993</v>
      </c>
      <c r="C10">
        <v>8.4794066049629322</v>
      </c>
      <c r="D10">
        <v>3.4073976214991823</v>
      </c>
      <c r="E10">
        <v>3.1</v>
      </c>
      <c r="F10">
        <v>3.0622600617037339</v>
      </c>
      <c r="G10">
        <v>-1.217417364395684</v>
      </c>
      <c r="H10">
        <v>11.299999999999999</v>
      </c>
      <c r="I10">
        <v>11.541666666666666</v>
      </c>
      <c r="J10">
        <v>2.138643067846612</v>
      </c>
      <c r="K10">
        <v>45.4</v>
      </c>
      <c r="L10">
        <v>45.96653559317221</v>
      </c>
      <c r="M10">
        <v>1.247875755885929</v>
      </c>
      <c r="N10">
        <v>36.200000000000003</v>
      </c>
      <c r="O10">
        <v>41.541666666666664</v>
      </c>
      <c r="P10">
        <v>14.755985267034974</v>
      </c>
      <c r="Q10">
        <v>27.5</v>
      </c>
      <c r="R10">
        <v>53.165691126631351</v>
      </c>
      <c r="S10">
        <v>93.329785915023095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2">
      <c r="A11" t="s">
        <v>105</v>
      </c>
      <c r="B11">
        <v>8.1</v>
      </c>
      <c r="C11">
        <v>8.4081749044604912</v>
      </c>
      <c r="D11">
        <v>3.8046284501295253</v>
      </c>
      <c r="E11">
        <v>3.1</v>
      </c>
      <c r="F11">
        <v>2.8834917622061749</v>
      </c>
      <c r="G11">
        <v>-6.9841367030266195</v>
      </c>
      <c r="H11">
        <v>11.2</v>
      </c>
      <c r="I11">
        <v>11.291666666666666</v>
      </c>
      <c r="J11">
        <v>0.81845238095238204</v>
      </c>
      <c r="K11">
        <v>44.4</v>
      </c>
      <c r="L11">
        <v>44.29064897415806</v>
      </c>
      <c r="M11">
        <v>-0.24628609423860037</v>
      </c>
      <c r="N11">
        <v>36.700000000000003</v>
      </c>
      <c r="O11">
        <v>39.458333333333329</v>
      </c>
      <c r="P11">
        <v>7.5158946412352199</v>
      </c>
      <c r="Q11">
        <v>52.6</v>
      </c>
      <c r="R11">
        <v>53.969297593668635</v>
      </c>
      <c r="S11">
        <v>2.6032273643890376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2">
      <c r="A12" t="s">
        <v>106</v>
      </c>
      <c r="B12">
        <v>7</v>
      </c>
      <c r="C12">
        <v>7.3994312511421434</v>
      </c>
      <c r="D12">
        <v>5.7061607306020488</v>
      </c>
      <c r="E12">
        <v>2.2000000000000002</v>
      </c>
      <c r="F12">
        <v>1.8089020821911888</v>
      </c>
      <c r="G12">
        <v>-17.7771780822187</v>
      </c>
      <c r="H12">
        <v>9.1999999999999993</v>
      </c>
      <c r="I12">
        <v>9.2083333333333321</v>
      </c>
      <c r="J12">
        <v>9.0579710144922401E-2</v>
      </c>
      <c r="K12">
        <v>47.7</v>
      </c>
      <c r="L12">
        <v>46.935453915658307</v>
      </c>
      <c r="M12">
        <v>-1.602821979751982</v>
      </c>
      <c r="N12">
        <v>33.799999999999997</v>
      </c>
      <c r="O12">
        <v>33.625</v>
      </c>
      <c r="P12">
        <v>-0.51775147928993248</v>
      </c>
      <c r="Q12">
        <v>59.7</v>
      </c>
      <c r="R12">
        <v>63.58857089955837</v>
      </c>
      <c r="S12">
        <v>6.5135190947376325</v>
      </c>
      <c r="T12">
        <v>4.4000000000000004</v>
      </c>
      <c r="U12">
        <v>1.8420676062574017</v>
      </c>
      <c r="V12">
        <v>-2.5579323937425986</v>
      </c>
      <c r="W12">
        <v>36</v>
      </c>
      <c r="X12">
        <v>28.629183991351439</v>
      </c>
      <c r="Y12">
        <v>-7.3708160086485606</v>
      </c>
    </row>
    <row r="13" spans="1:25" x14ac:dyDescent="0.2">
      <c r="A13" t="s">
        <v>107</v>
      </c>
      <c r="B13">
        <v>7.4</v>
      </c>
      <c r="C13">
        <v>7.7037998235971337</v>
      </c>
      <c r="D13">
        <v>4.1054030215828829</v>
      </c>
      <c r="E13">
        <v>2.7</v>
      </c>
      <c r="F13">
        <v>2.5045335097361985</v>
      </c>
      <c r="G13">
        <v>-7.239499639400063</v>
      </c>
      <c r="H13">
        <v>10.100000000000001</v>
      </c>
      <c r="I13">
        <v>10.208333333333332</v>
      </c>
      <c r="J13">
        <v>1.0726072607260466</v>
      </c>
      <c r="K13">
        <v>36.299999999999997</v>
      </c>
      <c r="L13">
        <v>35.736868656026971</v>
      </c>
      <c r="M13">
        <v>-1.5513260164546181</v>
      </c>
      <c r="N13">
        <v>24.8</v>
      </c>
      <c r="O13">
        <v>23.458333333333332</v>
      </c>
      <c r="P13">
        <v>-5.4099462365591471</v>
      </c>
      <c r="Q13">
        <v>51.2</v>
      </c>
      <c r="R13">
        <v>58.57939232662023</v>
      </c>
      <c r="S13">
        <v>14.412875637930131</v>
      </c>
      <c r="T13">
        <v>56.6</v>
      </c>
      <c r="U13">
        <v>46.069686300758626</v>
      </c>
      <c r="V13">
        <v>-10.530313699241376</v>
      </c>
      <c r="W13">
        <v>79.099999999999994</v>
      </c>
      <c r="X13">
        <v>72.69518594938603</v>
      </c>
      <c r="Y13">
        <v>-6.4048140506139646</v>
      </c>
    </row>
    <row r="14" spans="1:25" x14ac:dyDescent="0.2">
      <c r="A14" t="s">
        <v>108</v>
      </c>
      <c r="B14">
        <v>7.3</v>
      </c>
      <c r="C14">
        <v>7.5833796690456143</v>
      </c>
      <c r="D14">
        <v>3.8819132745974594</v>
      </c>
      <c r="E14">
        <v>2.2000000000000002</v>
      </c>
      <c r="F14">
        <v>2.0416203309543857</v>
      </c>
      <c r="G14">
        <v>-7.1990758657097507</v>
      </c>
      <c r="H14">
        <v>9.5</v>
      </c>
      <c r="I14">
        <v>9.625</v>
      </c>
      <c r="J14">
        <v>1.3157894736842104</v>
      </c>
      <c r="K14">
        <v>50</v>
      </c>
      <c r="L14">
        <v>50.125852348802539</v>
      </c>
      <c r="M14">
        <v>0.25170469760507785</v>
      </c>
      <c r="N14">
        <v>35.5</v>
      </c>
      <c r="O14">
        <v>38.875</v>
      </c>
      <c r="P14">
        <v>9.5070422535211261</v>
      </c>
      <c r="Q14">
        <v>57.9</v>
      </c>
      <c r="R14">
        <v>61.70878951332854</v>
      </c>
      <c r="S14">
        <v>6.5782202302738195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2">
      <c r="A15" t="s">
        <v>109</v>
      </c>
      <c r="B15">
        <v>10.8</v>
      </c>
      <c r="C15">
        <v>11.043710522648684</v>
      </c>
      <c r="D15">
        <v>2.2565789134137364</v>
      </c>
      <c r="E15">
        <v>3.1</v>
      </c>
      <c r="F15">
        <v>2.9979561440179818</v>
      </c>
      <c r="G15">
        <v>-3.2917372897425246</v>
      </c>
      <c r="H15">
        <v>13.9</v>
      </c>
      <c r="I15">
        <v>14.041666666666666</v>
      </c>
      <c r="J15">
        <v>1.0191846522781707</v>
      </c>
      <c r="K15">
        <v>58.9</v>
      </c>
      <c r="L15">
        <v>58.789913143209461</v>
      </c>
      <c r="M15">
        <v>-0.18690468045931746</v>
      </c>
      <c r="N15">
        <v>37.799999999999997</v>
      </c>
      <c r="O15">
        <v>39.875</v>
      </c>
      <c r="P15">
        <v>5.4894179894179977</v>
      </c>
      <c r="Q15">
        <v>48.4</v>
      </c>
      <c r="R15">
        <v>50.510031537329525</v>
      </c>
      <c r="S15">
        <v>4.3595692920031528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2">
      <c r="A16" t="s">
        <v>110</v>
      </c>
      <c r="B16">
        <v>6</v>
      </c>
      <c r="C16">
        <v>6.2987200656768572</v>
      </c>
      <c r="D16">
        <v>4.9786677612809527</v>
      </c>
      <c r="E16">
        <v>3.2</v>
      </c>
      <c r="F16">
        <v>2.9929466009898089</v>
      </c>
      <c r="G16">
        <v>-6.4704187190684772</v>
      </c>
      <c r="H16">
        <v>9.1999999999999993</v>
      </c>
      <c r="I16">
        <v>9.2916666666666661</v>
      </c>
      <c r="J16">
        <v>0.99637681159420421</v>
      </c>
      <c r="K16">
        <v>32.5</v>
      </c>
      <c r="L16">
        <v>32.062396093600711</v>
      </c>
      <c r="M16">
        <v>-1.3464735581516589</v>
      </c>
      <c r="N16">
        <v>19.2</v>
      </c>
      <c r="O16">
        <v>20.125</v>
      </c>
      <c r="P16">
        <v>4.8177083333333375</v>
      </c>
      <c r="Q16">
        <v>49</v>
      </c>
      <c r="R16">
        <v>58.482287283429471</v>
      </c>
      <c r="S16">
        <v>19.351606700876474</v>
      </c>
      <c r="T16">
        <v>60.6</v>
      </c>
      <c r="U16">
        <v>57.084434422836551</v>
      </c>
      <c r="V16">
        <v>-3.51556557716345</v>
      </c>
      <c r="W16">
        <v>80.900000000000006</v>
      </c>
      <c r="X16">
        <v>78.126575484627935</v>
      </c>
      <c r="Y16">
        <v>-2.7734245153720707</v>
      </c>
    </row>
    <row r="17" spans="1:25" x14ac:dyDescent="0.2">
      <c r="A17" t="s">
        <v>111</v>
      </c>
      <c r="B17">
        <v>8.1999999999999993</v>
      </c>
      <c r="C17">
        <v>8.4113677232700983</v>
      </c>
      <c r="D17">
        <v>2.5776551618304762</v>
      </c>
      <c r="E17">
        <v>2.5</v>
      </c>
      <c r="F17">
        <v>2.3802989433965678</v>
      </c>
      <c r="G17">
        <v>-4.7880422641372888</v>
      </c>
      <c r="H17">
        <v>10.7</v>
      </c>
      <c r="I17">
        <v>10.791666666666666</v>
      </c>
      <c r="J17">
        <v>0.85669781931464284</v>
      </c>
      <c r="K17">
        <v>48.5</v>
      </c>
      <c r="L17">
        <v>49.013782449040733</v>
      </c>
      <c r="M17">
        <v>1.0593452557540877</v>
      </c>
      <c r="N17">
        <v>33.700000000000003</v>
      </c>
      <c r="O17">
        <v>38.375</v>
      </c>
      <c r="P17">
        <v>13.87240356083085</v>
      </c>
      <c r="Q17">
        <v>48.9</v>
      </c>
      <c r="R17">
        <v>57.873543914785209</v>
      </c>
      <c r="S17">
        <v>18.350805551707996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2">
      <c r="A18" t="s">
        <v>112</v>
      </c>
      <c r="B18">
        <v>6.9</v>
      </c>
      <c r="C18">
        <v>7.363781079329252</v>
      </c>
      <c r="D18">
        <v>6.7214649178152408</v>
      </c>
      <c r="E18">
        <v>3.4</v>
      </c>
      <c r="F18">
        <v>3.0945522540040802</v>
      </c>
      <c r="G18">
        <v>-8.9837572351741102</v>
      </c>
      <c r="H18">
        <v>10.3</v>
      </c>
      <c r="I18">
        <v>10.458333333333332</v>
      </c>
      <c r="J18">
        <v>1.537216828478946</v>
      </c>
      <c r="K18">
        <v>34.5</v>
      </c>
      <c r="L18">
        <v>33.979354158026737</v>
      </c>
      <c r="M18">
        <v>-1.5091183825311962</v>
      </c>
      <c r="N18">
        <v>25</v>
      </c>
      <c r="O18">
        <v>25.875</v>
      </c>
      <c r="P18">
        <v>3.5000000000000004</v>
      </c>
      <c r="Q18">
        <v>53.1</v>
      </c>
      <c r="R18">
        <v>57.701996483928838</v>
      </c>
      <c r="S18">
        <v>8.6666600450637219</v>
      </c>
      <c r="T18">
        <v>24.1</v>
      </c>
      <c r="U18">
        <v>22.731101660779402</v>
      </c>
      <c r="V18">
        <v>-1.3688983392205998</v>
      </c>
      <c r="W18">
        <v>59.7</v>
      </c>
      <c r="X18">
        <v>57.567013815428666</v>
      </c>
      <c r="Y18">
        <v>-2.1329861845713367</v>
      </c>
    </row>
    <row r="19" spans="1:25" x14ac:dyDescent="0.2">
      <c r="A19" t="s">
        <v>113</v>
      </c>
      <c r="B19">
        <v>7.2</v>
      </c>
      <c r="C19">
        <v>7.6080595368615933</v>
      </c>
      <c r="D19">
        <v>5.6674935675221265</v>
      </c>
      <c r="E19">
        <v>3.5</v>
      </c>
      <c r="F19">
        <v>3.1002737964717388</v>
      </c>
      <c r="G19">
        <v>-11.420748672236034</v>
      </c>
      <c r="H19">
        <v>10.7</v>
      </c>
      <c r="I19">
        <v>10.708333333333332</v>
      </c>
      <c r="J19">
        <v>7.7881619937690272E-2</v>
      </c>
      <c r="K19">
        <v>36.700000000000003</v>
      </c>
      <c r="L19">
        <v>36.993515534576325</v>
      </c>
      <c r="M19">
        <v>0.79976984898180392</v>
      </c>
      <c r="N19">
        <v>33.200000000000003</v>
      </c>
      <c r="O19">
        <v>38.625</v>
      </c>
      <c r="P19">
        <v>16.34036144578312</v>
      </c>
      <c r="Q19">
        <v>53.3</v>
      </c>
      <c r="R19">
        <v>55.457481834533596</v>
      </c>
      <c r="S19">
        <v>4.047808319950466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2">
      <c r="A20" t="s">
        <v>114</v>
      </c>
      <c r="B20">
        <v>7.9</v>
      </c>
      <c r="C20">
        <v>8.2362019123936889</v>
      </c>
      <c r="D20">
        <v>4.255720410046691</v>
      </c>
      <c r="E20">
        <v>3.2</v>
      </c>
      <c r="F20">
        <v>3.0554647542729771</v>
      </c>
      <c r="G20">
        <v>-4.51672642896947</v>
      </c>
      <c r="H20">
        <v>11.100000000000001</v>
      </c>
      <c r="I20">
        <v>11.291666666666666</v>
      </c>
      <c r="J20">
        <v>1.7267267267267083</v>
      </c>
      <c r="K20">
        <v>42.5</v>
      </c>
      <c r="L20">
        <v>42.47493619549212</v>
      </c>
      <c r="M20">
        <v>-5.8973657665600351E-2</v>
      </c>
      <c r="N20">
        <v>34.6</v>
      </c>
      <c r="O20">
        <v>38.375</v>
      </c>
      <c r="P20">
        <v>10.910404624277453</v>
      </c>
      <c r="Q20">
        <v>48.1</v>
      </c>
      <c r="R20">
        <v>53.391206249244412</v>
      </c>
      <c r="S20">
        <v>11.000428792607922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2">
      <c r="A21" t="s">
        <v>115</v>
      </c>
      <c r="B21">
        <v>7</v>
      </c>
      <c r="C21">
        <v>7.4460346564880115</v>
      </c>
      <c r="D21">
        <v>6.3719236641144512</v>
      </c>
      <c r="E21">
        <v>3</v>
      </c>
      <c r="F21">
        <v>2.5956320101786545</v>
      </c>
      <c r="G21">
        <v>-13.478932994044849</v>
      </c>
      <c r="H21">
        <v>10</v>
      </c>
      <c r="I21">
        <v>10.041666666666666</v>
      </c>
      <c r="J21">
        <v>0.41666666666666075</v>
      </c>
      <c r="K21">
        <v>37.299999999999997</v>
      </c>
      <c r="L21">
        <v>36.753848476475852</v>
      </c>
      <c r="M21">
        <v>-1.4642131997966354</v>
      </c>
      <c r="N21">
        <v>28.2</v>
      </c>
      <c r="O21">
        <v>29.041666666666664</v>
      </c>
      <c r="P21">
        <v>2.9846335697399469</v>
      </c>
      <c r="Q21">
        <v>55.5</v>
      </c>
      <c r="R21">
        <v>59.228309278147982</v>
      </c>
      <c r="S21">
        <v>6.7176743750414092</v>
      </c>
      <c r="T21">
        <v>16.100000000000001</v>
      </c>
      <c r="U21">
        <v>14.958065087973253</v>
      </c>
      <c r="V21">
        <v>-1.1419349120267483</v>
      </c>
      <c r="W21">
        <v>56.3</v>
      </c>
      <c r="X21">
        <v>54.134243131812518</v>
      </c>
      <c r="Y21">
        <v>-2.1657568681874793</v>
      </c>
    </row>
    <row r="22" spans="1:25" x14ac:dyDescent="0.2">
      <c r="A22" t="s">
        <v>116</v>
      </c>
      <c r="B22">
        <v>7.4</v>
      </c>
      <c r="C22">
        <v>7.7449629790641534</v>
      </c>
      <c r="D22">
        <v>4.6616618792453117</v>
      </c>
      <c r="E22">
        <v>2.2999999999999998</v>
      </c>
      <c r="F22">
        <v>2.0467036876025126</v>
      </c>
      <c r="G22">
        <v>-11.012883147716835</v>
      </c>
      <c r="H22">
        <v>9.6999999999999993</v>
      </c>
      <c r="I22">
        <v>9.7916666666666661</v>
      </c>
      <c r="J22">
        <v>0.9450171821305855</v>
      </c>
      <c r="K22">
        <v>37.799999999999997</v>
      </c>
      <c r="L22">
        <v>37.185769842145788</v>
      </c>
      <c r="M22">
        <v>-1.6249475075508173</v>
      </c>
      <c r="N22">
        <v>25.7</v>
      </c>
      <c r="O22">
        <v>24.791666666666664</v>
      </c>
      <c r="P22">
        <v>-3.5343709468223157</v>
      </c>
      <c r="Q22">
        <v>55.7</v>
      </c>
      <c r="R22">
        <v>62.022553445882522</v>
      </c>
      <c r="S22">
        <v>11.351083385785492</v>
      </c>
      <c r="T22">
        <v>47.4</v>
      </c>
      <c r="U22">
        <v>38.986181852630061</v>
      </c>
      <c r="V22">
        <v>-8.4138181473699376</v>
      </c>
      <c r="W22">
        <v>74.400000000000006</v>
      </c>
      <c r="X22">
        <v>68.864362274416251</v>
      </c>
      <c r="Y22">
        <v>-5.5356377255837543</v>
      </c>
    </row>
    <row r="23" spans="1:25" x14ac:dyDescent="0.2">
      <c r="A23" t="s">
        <v>117</v>
      </c>
      <c r="B23">
        <v>8.4</v>
      </c>
      <c r="C23">
        <v>8.7426273492812641</v>
      </c>
      <c r="D23">
        <v>4.0788970152531387</v>
      </c>
      <c r="E23">
        <v>4.0999999999999996</v>
      </c>
      <c r="F23">
        <v>3.8823726507187359</v>
      </c>
      <c r="G23">
        <v>-5.3079841288113103</v>
      </c>
      <c r="H23">
        <v>12.5</v>
      </c>
      <c r="I23">
        <v>12.625</v>
      </c>
      <c r="J23">
        <v>1</v>
      </c>
      <c r="K23">
        <v>39.799999999999997</v>
      </c>
      <c r="L23">
        <v>39.726481984034343</v>
      </c>
      <c r="M23">
        <v>-0.18471863307953182</v>
      </c>
      <c r="N23">
        <v>36.6</v>
      </c>
      <c r="O23">
        <v>39.958333333333329</v>
      </c>
      <c r="P23">
        <v>9.1757741347905117</v>
      </c>
      <c r="Q23">
        <v>34.200000000000003</v>
      </c>
      <c r="R23">
        <v>48.941353262260137</v>
      </c>
      <c r="S23">
        <v>43.103372111871735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23"/>
  <sheetViews>
    <sheetView workbookViewId="0">
      <selection activeCell="A2" sqref="A2:Y23"/>
    </sheetView>
  </sheetViews>
  <sheetFormatPr baseColWidth="10" defaultColWidth="8.83203125" defaultRowHeight="15" x14ac:dyDescent="0.2"/>
  <cols>
    <col min="1" max="1" width="9.6640625" customWidth="1"/>
    <col min="2" max="2" width="16.33203125" customWidth="1"/>
    <col min="3" max="3" width="22.33203125" customWidth="1"/>
    <col min="4" max="4" width="20" customWidth="1"/>
    <col min="5" max="5" width="16.33203125" customWidth="1"/>
    <col min="6" max="6" width="22.33203125" customWidth="1"/>
    <col min="7" max="7" width="20" customWidth="1"/>
    <col min="8" max="8" width="18.5" customWidth="1"/>
    <col min="9" max="9" width="24.5" customWidth="1"/>
    <col min="10" max="10" width="22.1640625" customWidth="1"/>
    <col min="11" max="11" width="13.5" customWidth="1"/>
    <col min="12" max="12" width="19.5" customWidth="1"/>
    <col min="13" max="13" width="21.83203125" customWidth="1"/>
    <col min="14" max="14" width="14.5" customWidth="1"/>
    <col min="15" max="15" width="20.5" customWidth="1"/>
    <col min="16" max="16" width="22.83203125" customWidth="1"/>
    <col min="17" max="17" width="15.5" customWidth="1"/>
    <col min="18" max="18" width="21.5" customWidth="1"/>
    <col min="19" max="19" width="24" customWidth="1"/>
    <col min="20" max="20" width="12.5" customWidth="1"/>
    <col min="21" max="21" width="18.5" customWidth="1"/>
    <col min="22" max="22" width="22.6640625" customWidth="1"/>
    <col min="23" max="23" width="12.5" customWidth="1"/>
    <col min="24" max="24" width="18.5" customWidth="1"/>
    <col min="25" max="25" width="22.6640625" customWidth="1"/>
  </cols>
  <sheetData>
    <row r="1" spans="1:25" x14ac:dyDescent="0.2">
      <c r="A1" t="s">
        <v>142</v>
      </c>
      <c r="B1" t="s">
        <v>165</v>
      </c>
      <c r="C1" t="s">
        <v>166</v>
      </c>
      <c r="D1" t="s">
        <v>167</v>
      </c>
      <c r="E1" t="s">
        <v>168</v>
      </c>
      <c r="F1" t="s">
        <v>169</v>
      </c>
      <c r="G1" t="s">
        <v>170</v>
      </c>
      <c r="H1" t="s">
        <v>171</v>
      </c>
      <c r="I1" t="s">
        <v>172</v>
      </c>
      <c r="J1" t="s">
        <v>173</v>
      </c>
      <c r="K1" t="s">
        <v>174</v>
      </c>
      <c r="L1" t="s">
        <v>175</v>
      </c>
      <c r="M1" t="s">
        <v>176</v>
      </c>
      <c r="N1" t="s">
        <v>177</v>
      </c>
      <c r="O1" t="s">
        <v>178</v>
      </c>
      <c r="P1" t="s">
        <v>179</v>
      </c>
      <c r="Q1" t="s">
        <v>180</v>
      </c>
      <c r="R1" t="s">
        <v>181</v>
      </c>
      <c r="S1" t="s">
        <v>182</v>
      </c>
      <c r="T1" t="s">
        <v>183</v>
      </c>
      <c r="U1" t="s">
        <v>184</v>
      </c>
      <c r="V1" t="s">
        <v>185</v>
      </c>
      <c r="W1" t="s">
        <v>186</v>
      </c>
      <c r="X1" t="s">
        <v>187</v>
      </c>
      <c r="Y1" t="s">
        <v>188</v>
      </c>
    </row>
    <row r="2" spans="1:25" x14ac:dyDescent="0.2">
      <c r="A2" t="s">
        <v>143</v>
      </c>
      <c r="B2">
        <v>3.3</v>
      </c>
      <c r="C2">
        <v>3.7774135411773186</v>
      </c>
      <c r="D2">
        <v>14.4670770053733</v>
      </c>
      <c r="E2">
        <v>3</v>
      </c>
      <c r="F2">
        <v>2.5142531254893474</v>
      </c>
      <c r="G2">
        <v>-16.191562483688418</v>
      </c>
      <c r="H2">
        <v>6.3</v>
      </c>
      <c r="I2">
        <v>6.2916666666666661</v>
      </c>
      <c r="J2">
        <v>-0.13227513227513887</v>
      </c>
      <c r="K2">
        <v>48</v>
      </c>
      <c r="L2">
        <v>48.013288328192303</v>
      </c>
      <c r="M2">
        <v>2.7684017067297617E-2</v>
      </c>
      <c r="N2">
        <v>30.6</v>
      </c>
      <c r="O2">
        <v>33.125</v>
      </c>
      <c r="P2">
        <v>8.2516339869281001</v>
      </c>
      <c r="Q2">
        <v>64.3</v>
      </c>
      <c r="R2">
        <v>64.372422244918695</v>
      </c>
      <c r="S2">
        <v>0.11263179614105474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2">
      <c r="A3" t="s">
        <v>144</v>
      </c>
      <c r="B3">
        <v>3.4</v>
      </c>
      <c r="C3">
        <v>3.8514700790858347</v>
      </c>
      <c r="D3">
        <v>13.278531737818671</v>
      </c>
      <c r="E3">
        <v>4.2</v>
      </c>
      <c r="F3">
        <v>3.6068632542474983</v>
      </c>
      <c r="G3">
        <v>-14.122303470297663</v>
      </c>
      <c r="H3">
        <v>7.6</v>
      </c>
      <c r="I3">
        <v>7.458333333333333</v>
      </c>
      <c r="J3">
        <v>-1.8640350877192975</v>
      </c>
      <c r="K3">
        <v>40</v>
      </c>
      <c r="L3">
        <v>40.090763865278774</v>
      </c>
      <c r="M3">
        <v>0.22690966319693476</v>
      </c>
      <c r="N3">
        <v>27.1</v>
      </c>
      <c r="O3">
        <v>30.291666666666664</v>
      </c>
      <c r="P3">
        <v>11.777367773677721</v>
      </c>
      <c r="Q3">
        <v>54.8</v>
      </c>
      <c r="R3">
        <v>56.634877831957013</v>
      </c>
      <c r="S3">
        <v>3.3483172116003943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2">
      <c r="A4" t="s">
        <v>145</v>
      </c>
      <c r="B4">
        <v>3</v>
      </c>
      <c r="C4">
        <v>3.6051522237370053</v>
      </c>
      <c r="D4">
        <v>20.171740791233507</v>
      </c>
      <c r="E4">
        <v>5.2</v>
      </c>
      <c r="F4">
        <v>4.1865144429296608</v>
      </c>
      <c r="G4">
        <v>-19.490106866737296</v>
      </c>
      <c r="H4">
        <v>8.1999999999999993</v>
      </c>
      <c r="I4">
        <v>7.7916666666666661</v>
      </c>
      <c r="J4">
        <v>-4.9796747967479664</v>
      </c>
      <c r="K4">
        <v>39</v>
      </c>
      <c r="L4">
        <v>38.850132050920763</v>
      </c>
      <c r="M4">
        <v>-0.384276792510864</v>
      </c>
      <c r="N4">
        <v>30.2</v>
      </c>
      <c r="O4">
        <v>32.791666666666664</v>
      </c>
      <c r="P4">
        <v>8.5816777041942558</v>
      </c>
      <c r="Q4">
        <v>54.9</v>
      </c>
      <c r="R4">
        <v>53.751641356863267</v>
      </c>
      <c r="S4">
        <v>-2.0917279474257406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2">
      <c r="A5" t="s">
        <v>146</v>
      </c>
      <c r="B5">
        <v>3.3</v>
      </c>
      <c r="C5">
        <v>3.7755107955177367</v>
      </c>
      <c r="D5">
        <v>14.409418045992028</v>
      </c>
      <c r="E5">
        <v>3.1</v>
      </c>
      <c r="F5">
        <v>2.6828225378155963</v>
      </c>
      <c r="G5">
        <v>-13.457337489819476</v>
      </c>
      <c r="H5">
        <v>6.4</v>
      </c>
      <c r="I5">
        <v>6.458333333333333</v>
      </c>
      <c r="J5">
        <v>0.91145833333332316</v>
      </c>
      <c r="K5">
        <v>47.3</v>
      </c>
      <c r="L5">
        <v>47.394259330312153</v>
      </c>
      <c r="M5">
        <v>0.19927976810180867</v>
      </c>
      <c r="N5">
        <v>30.6</v>
      </c>
      <c r="O5">
        <v>33.291666666666664</v>
      </c>
      <c r="P5">
        <v>8.7962962962962834</v>
      </c>
      <c r="Q5">
        <v>60</v>
      </c>
      <c r="R5">
        <v>62.784018947491127</v>
      </c>
      <c r="S5">
        <v>4.6400315791518789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2">
      <c r="A6" t="s">
        <v>147</v>
      </c>
      <c r="B6">
        <v>4.5999999999999996</v>
      </c>
      <c r="C6">
        <v>4.9929237071707409</v>
      </c>
      <c r="D6">
        <v>8.5418197211030709</v>
      </c>
      <c r="E6">
        <v>2.8</v>
      </c>
      <c r="F6">
        <v>2.5487429594959252</v>
      </c>
      <c r="G6">
        <v>-8.9734657322883802</v>
      </c>
      <c r="H6">
        <v>7.3999999999999995</v>
      </c>
      <c r="I6">
        <v>7.5416666666666661</v>
      </c>
      <c r="J6">
        <v>1.9144144144144135</v>
      </c>
      <c r="K6">
        <v>56.2</v>
      </c>
      <c r="L6">
        <v>56.186392636406872</v>
      </c>
      <c r="M6">
        <v>-2.4212390735108689E-2</v>
      </c>
      <c r="N6">
        <v>36.4</v>
      </c>
      <c r="O6">
        <v>38.958333333333329</v>
      </c>
      <c r="P6">
        <v>7.0283882783882703</v>
      </c>
      <c r="Q6">
        <v>58.2</v>
      </c>
      <c r="R6">
        <v>61.474226702632222</v>
      </c>
      <c r="S6">
        <v>5.6258190766876623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2">
      <c r="A7" t="s">
        <v>148</v>
      </c>
      <c r="B7">
        <v>3.1</v>
      </c>
      <c r="C7">
        <v>3.627412136390868</v>
      </c>
      <c r="D7">
        <v>17.013294722286062</v>
      </c>
      <c r="E7">
        <v>2.5</v>
      </c>
      <c r="F7">
        <v>2.080921196942465</v>
      </c>
      <c r="G7">
        <v>-16.763152122301399</v>
      </c>
      <c r="H7">
        <v>5.6</v>
      </c>
      <c r="I7">
        <v>5.708333333333333</v>
      </c>
      <c r="J7">
        <v>1.9345238095238106</v>
      </c>
      <c r="K7">
        <v>42.5</v>
      </c>
      <c r="L7">
        <v>41.758877213175282</v>
      </c>
      <c r="M7">
        <v>-1.7438183219405132</v>
      </c>
      <c r="N7">
        <v>18.600000000000001</v>
      </c>
      <c r="O7">
        <v>17.291666666666664</v>
      </c>
      <c r="P7">
        <v>-7.0340501792114889</v>
      </c>
      <c r="Q7">
        <v>63.8</v>
      </c>
      <c r="R7">
        <v>71.766220132845319</v>
      </c>
      <c r="S7">
        <v>12.486238452735615</v>
      </c>
      <c r="T7">
        <v>68.900000000000006</v>
      </c>
      <c r="U7">
        <v>57.205359968618239</v>
      </c>
      <c r="V7">
        <v>-11.694640031381766</v>
      </c>
      <c r="W7">
        <v>85</v>
      </c>
      <c r="X7">
        <v>78.394160159198904</v>
      </c>
      <c r="Y7">
        <v>-6.6058398408010959</v>
      </c>
    </row>
    <row r="8" spans="1:25" x14ac:dyDescent="0.2">
      <c r="A8" t="s">
        <v>149</v>
      </c>
      <c r="B8">
        <v>3.4</v>
      </c>
      <c r="C8">
        <v>3.8490124993815718</v>
      </c>
      <c r="D8">
        <v>13.206249981810936</v>
      </c>
      <c r="E8">
        <v>3.1</v>
      </c>
      <c r="F8">
        <v>2.7759875006184282</v>
      </c>
      <c r="G8">
        <v>-10.452016109082962</v>
      </c>
      <c r="H8">
        <v>6.5</v>
      </c>
      <c r="I8">
        <v>6.625</v>
      </c>
      <c r="J8">
        <v>1.9230769230769231</v>
      </c>
      <c r="K8">
        <v>47.4</v>
      </c>
      <c r="L8">
        <v>47.984300376765809</v>
      </c>
      <c r="M8">
        <v>1.2327012168055071</v>
      </c>
      <c r="N8">
        <v>29.8</v>
      </c>
      <c r="O8">
        <v>34.791666666666664</v>
      </c>
      <c r="P8">
        <v>16.750559284116321</v>
      </c>
      <c r="Q8">
        <v>55.8</v>
      </c>
      <c r="R8">
        <v>61.868974145009751</v>
      </c>
      <c r="S8">
        <v>10.876297750913539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2">
      <c r="A9" t="s">
        <v>150</v>
      </c>
      <c r="B9">
        <v>3.3</v>
      </c>
      <c r="C9">
        <v>3.8400174711291397</v>
      </c>
      <c r="D9">
        <v>16.364165791792118</v>
      </c>
      <c r="E9">
        <v>4.2</v>
      </c>
      <c r="F9">
        <v>3.7016491955375264</v>
      </c>
      <c r="G9">
        <v>-11.865495344344614</v>
      </c>
      <c r="H9">
        <v>7.5</v>
      </c>
      <c r="I9">
        <v>7.5416666666666661</v>
      </c>
      <c r="J9">
        <v>0.5555555555555477</v>
      </c>
      <c r="K9">
        <v>39.799999999999997</v>
      </c>
      <c r="L9">
        <v>38.738677398513829</v>
      </c>
      <c r="M9">
        <v>-2.6666397022265533</v>
      </c>
      <c r="N9">
        <v>27.7</v>
      </c>
      <c r="O9">
        <v>28.458333333333332</v>
      </c>
      <c r="P9">
        <v>2.7376654632972306</v>
      </c>
      <c r="Q9">
        <v>54</v>
      </c>
      <c r="R9">
        <v>55.374135882234363</v>
      </c>
      <c r="S9">
        <v>2.5446960782117829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2">
      <c r="A10" t="s">
        <v>151</v>
      </c>
      <c r="B10">
        <v>3</v>
      </c>
      <c r="C10">
        <v>3.5298786351587883</v>
      </c>
      <c r="D10">
        <v>17.662621171959611</v>
      </c>
      <c r="E10">
        <v>6.2</v>
      </c>
      <c r="F10">
        <v>6.0117880315078782</v>
      </c>
      <c r="G10">
        <v>-3.0356769111632573</v>
      </c>
      <c r="H10">
        <v>9.1999999999999993</v>
      </c>
      <c r="I10">
        <v>9.5416666666666661</v>
      </c>
      <c r="J10">
        <v>3.713768115942031</v>
      </c>
      <c r="K10">
        <v>36.1</v>
      </c>
      <c r="L10">
        <v>35.16237737617903</v>
      </c>
      <c r="M10">
        <v>-2.5972925867616925</v>
      </c>
      <c r="N10">
        <v>27.2</v>
      </c>
      <c r="O10">
        <v>25.625</v>
      </c>
      <c r="P10">
        <v>-5.7904411764705861</v>
      </c>
      <c r="Q10">
        <v>56.9</v>
      </c>
      <c r="R10">
        <v>60.609272444826658</v>
      </c>
      <c r="S10">
        <v>6.5189322404686463</v>
      </c>
      <c r="T10">
        <v>13.4</v>
      </c>
      <c r="U10">
        <v>7.7444907935901171</v>
      </c>
      <c r="V10">
        <v>-5.6555092064098833</v>
      </c>
      <c r="W10">
        <v>48.1</v>
      </c>
      <c r="X10">
        <v>41.676553872028407</v>
      </c>
      <c r="Y10">
        <v>-6.4234461279715944</v>
      </c>
    </row>
    <row r="11" spans="1:25" x14ac:dyDescent="0.2">
      <c r="A11" t="s">
        <v>152</v>
      </c>
      <c r="B11">
        <v>3.2</v>
      </c>
      <c r="C11">
        <v>3.7033096616187668</v>
      </c>
      <c r="D11">
        <v>15.728426925586458</v>
      </c>
      <c r="E11">
        <v>3.4</v>
      </c>
      <c r="F11">
        <v>2.7550236717145662</v>
      </c>
      <c r="G11">
        <v>-18.96989200839511</v>
      </c>
      <c r="H11">
        <v>6.6</v>
      </c>
      <c r="I11">
        <v>6.458333333333333</v>
      </c>
      <c r="J11">
        <v>-2.1464646464646457</v>
      </c>
      <c r="K11">
        <v>44.3</v>
      </c>
      <c r="L11">
        <v>44.458504719552671</v>
      </c>
      <c r="M11">
        <v>0.35779846400152165</v>
      </c>
      <c r="N11">
        <v>28.8</v>
      </c>
      <c r="O11">
        <v>31.458333333333332</v>
      </c>
      <c r="P11">
        <v>9.2303240740740673</v>
      </c>
      <c r="Q11">
        <v>63.6</v>
      </c>
      <c r="R11">
        <v>62.826479345222616</v>
      </c>
      <c r="S11">
        <v>-1.2162274446185308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2">
      <c r="A12" t="s">
        <v>153</v>
      </c>
      <c r="B12">
        <v>3.2</v>
      </c>
      <c r="C12">
        <v>3.7696708841814024</v>
      </c>
      <c r="D12">
        <v>17.80221513066882</v>
      </c>
      <c r="E12">
        <v>3.9</v>
      </c>
      <c r="F12">
        <v>3.2719957824852637</v>
      </c>
      <c r="G12">
        <v>-16.102672243967596</v>
      </c>
      <c r="H12">
        <v>7.1</v>
      </c>
      <c r="I12">
        <v>7.0416666666666661</v>
      </c>
      <c r="J12">
        <v>-0.82159624413145871</v>
      </c>
      <c r="K12">
        <v>41.4</v>
      </c>
      <c r="L12">
        <v>41.581605462550741</v>
      </c>
      <c r="M12">
        <v>0.43866053756217865</v>
      </c>
      <c r="N12">
        <v>26.8</v>
      </c>
      <c r="O12">
        <v>30.625</v>
      </c>
      <c r="P12">
        <v>14.272388059701491</v>
      </c>
      <c r="Q12">
        <v>56.6</v>
      </c>
      <c r="R12">
        <v>58.344919554953414</v>
      </c>
      <c r="S12">
        <v>3.0828967402003751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2">
      <c r="A13" t="s">
        <v>154</v>
      </c>
      <c r="B13">
        <v>4.5</v>
      </c>
      <c r="C13">
        <v>4.9138047560868525</v>
      </c>
      <c r="D13">
        <v>9.1956612463745007</v>
      </c>
      <c r="E13">
        <v>4</v>
      </c>
      <c r="F13">
        <v>3.4611952439131475</v>
      </c>
      <c r="G13">
        <v>-13.470118902171313</v>
      </c>
      <c r="H13">
        <v>8.5</v>
      </c>
      <c r="I13">
        <v>8.375</v>
      </c>
      <c r="J13">
        <v>-1.4705882352941175</v>
      </c>
      <c r="K13">
        <v>48.1</v>
      </c>
      <c r="L13">
        <v>48.575989287415787</v>
      </c>
      <c r="M13">
        <v>0.98958271812013643</v>
      </c>
      <c r="N13">
        <v>34.200000000000003</v>
      </c>
      <c r="O13">
        <v>38.375</v>
      </c>
      <c r="P13">
        <v>12.207602339181276</v>
      </c>
      <c r="Q13">
        <v>55.1</v>
      </c>
      <c r="R13">
        <v>55.3995278339303</v>
      </c>
      <c r="S13">
        <v>0.54360768408402627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2">
      <c r="A14" t="s">
        <v>155</v>
      </c>
      <c r="B14">
        <v>3.2</v>
      </c>
      <c r="C14">
        <v>3.7216162666826262</v>
      </c>
      <c r="D14">
        <v>16.300508333832063</v>
      </c>
      <c r="E14">
        <v>4.2</v>
      </c>
      <c r="F14">
        <v>3.9867170666507068</v>
      </c>
      <c r="G14">
        <v>-5.0781650797450801</v>
      </c>
      <c r="H14">
        <v>7.4</v>
      </c>
      <c r="I14">
        <v>7.708333333333333</v>
      </c>
      <c r="J14">
        <v>4.1666666666666572</v>
      </c>
      <c r="K14">
        <v>33.799999999999997</v>
      </c>
      <c r="L14">
        <v>33.103231448953593</v>
      </c>
      <c r="M14">
        <v>-2.0614454172970524</v>
      </c>
      <c r="N14">
        <v>17.899999999999999</v>
      </c>
      <c r="O14">
        <v>17.541666666666664</v>
      </c>
      <c r="P14">
        <v>-2.0018621973929291</v>
      </c>
      <c r="Q14">
        <v>57.1</v>
      </c>
      <c r="R14">
        <v>62.940316351390081</v>
      </c>
      <c r="S14">
        <v>10.228224783520279</v>
      </c>
      <c r="T14">
        <v>68.400000000000006</v>
      </c>
      <c r="U14">
        <v>59.597774512120324</v>
      </c>
      <c r="V14">
        <v>-8.8022254878796815</v>
      </c>
      <c r="W14">
        <v>84.7</v>
      </c>
      <c r="X14">
        <v>79.583525811468689</v>
      </c>
      <c r="Y14">
        <v>-5.1164741885313134</v>
      </c>
    </row>
    <row r="15" spans="1:25" x14ac:dyDescent="0.2">
      <c r="A15" t="s">
        <v>156</v>
      </c>
      <c r="B15">
        <v>3.3</v>
      </c>
      <c r="C15">
        <v>3.7841211152733658</v>
      </c>
      <c r="D15">
        <v>14.670336826465638</v>
      </c>
      <c r="E15">
        <v>5</v>
      </c>
      <c r="F15">
        <v>4.3408788847266342</v>
      </c>
      <c r="G15">
        <v>-13.182422305467318</v>
      </c>
      <c r="H15">
        <v>8.3000000000000007</v>
      </c>
      <c r="I15">
        <v>8.125</v>
      </c>
      <c r="J15">
        <v>-2.1084337349397675</v>
      </c>
      <c r="K15">
        <v>35.9</v>
      </c>
      <c r="L15">
        <v>36.090686183307561</v>
      </c>
      <c r="M15">
        <v>0.53115928497928244</v>
      </c>
      <c r="N15">
        <v>24.2</v>
      </c>
      <c r="O15">
        <v>27.125</v>
      </c>
      <c r="P15">
        <v>12.086776859504136</v>
      </c>
      <c r="Q15">
        <v>50</v>
      </c>
      <c r="R15">
        <v>53.891169047390932</v>
      </c>
      <c r="S15">
        <v>7.7823380947818643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2">
      <c r="A16" t="s">
        <v>157</v>
      </c>
      <c r="B16">
        <v>3.1</v>
      </c>
      <c r="C16">
        <v>3.584722014326835</v>
      </c>
      <c r="D16">
        <v>15.636194010543061</v>
      </c>
      <c r="E16">
        <v>3.2</v>
      </c>
      <c r="F16">
        <v>2.540277985673165</v>
      </c>
      <c r="G16">
        <v>-20.616312947713599</v>
      </c>
      <c r="H16">
        <v>6.3000000000000007</v>
      </c>
      <c r="I16">
        <v>6.125</v>
      </c>
      <c r="J16">
        <v>-2.7777777777777888</v>
      </c>
      <c r="K16">
        <v>42.5</v>
      </c>
      <c r="L16">
        <v>41.945880460395443</v>
      </c>
      <c r="M16">
        <v>-1.3038106814224861</v>
      </c>
      <c r="N16">
        <v>22.8</v>
      </c>
      <c r="O16">
        <v>20.875</v>
      </c>
      <c r="P16">
        <v>-8.4429824561403528</v>
      </c>
      <c r="Q16">
        <v>59</v>
      </c>
      <c r="R16">
        <v>68.266541668566759</v>
      </c>
      <c r="S16">
        <v>15.706002828079255</v>
      </c>
      <c r="T16">
        <v>43.4</v>
      </c>
      <c r="U16">
        <v>33.217681472929044</v>
      </c>
      <c r="V16">
        <v>-10.182318527070954</v>
      </c>
      <c r="W16">
        <v>72.400000000000006</v>
      </c>
      <c r="X16">
        <v>65.348973688721443</v>
      </c>
      <c r="Y16">
        <v>-7.0510263112785623</v>
      </c>
    </row>
    <row r="17" spans="1:25" x14ac:dyDescent="0.2">
      <c r="A17" t="s">
        <v>158</v>
      </c>
      <c r="B17">
        <v>3.1</v>
      </c>
      <c r="C17">
        <v>3.4331731916207362</v>
      </c>
      <c r="D17">
        <v>10.747522310346326</v>
      </c>
      <c r="E17">
        <v>3</v>
      </c>
      <c r="F17">
        <v>2.2751601417125968</v>
      </c>
      <c r="G17">
        <v>-24.161328609580103</v>
      </c>
      <c r="H17">
        <v>6.1</v>
      </c>
      <c r="I17">
        <v>5.708333333333333</v>
      </c>
      <c r="J17">
        <v>-6.4207650273224033</v>
      </c>
      <c r="K17">
        <v>48.5</v>
      </c>
      <c r="L17">
        <v>47.314148641036617</v>
      </c>
      <c r="M17">
        <v>-2.4450543483781093</v>
      </c>
      <c r="N17">
        <v>34.200000000000003</v>
      </c>
      <c r="O17">
        <v>32.041666666666664</v>
      </c>
      <c r="P17">
        <v>-6.3109161793372461</v>
      </c>
      <c r="Q17">
        <v>61.8</v>
      </c>
      <c r="R17">
        <v>68.496043246174651</v>
      </c>
      <c r="S17">
        <v>10.83502143393957</v>
      </c>
      <c r="T17">
        <v>0</v>
      </c>
      <c r="U17">
        <v>0</v>
      </c>
      <c r="V17">
        <v>0</v>
      </c>
      <c r="W17">
        <v>2.1</v>
      </c>
      <c r="X17">
        <v>0</v>
      </c>
      <c r="Y17">
        <v>-2.1</v>
      </c>
    </row>
    <row r="18" spans="1:25" x14ac:dyDescent="0.2">
      <c r="A18" t="s">
        <v>159</v>
      </c>
      <c r="B18">
        <v>3.2</v>
      </c>
      <c r="C18">
        <v>3.6020785600797529</v>
      </c>
      <c r="D18">
        <v>12.564955002492272</v>
      </c>
      <c r="E18">
        <v>5.4</v>
      </c>
      <c r="F18">
        <v>5.2729214399202471</v>
      </c>
      <c r="G18">
        <v>-2.3533066681435786</v>
      </c>
      <c r="H18">
        <v>8.6000000000000014</v>
      </c>
      <c r="I18">
        <v>8.875</v>
      </c>
      <c r="J18">
        <v>3.1976744186046338</v>
      </c>
      <c r="K18">
        <v>38.5</v>
      </c>
      <c r="L18">
        <v>37.27622590474634</v>
      </c>
      <c r="M18">
        <v>-3.1786340136458695</v>
      </c>
      <c r="N18">
        <v>26.1</v>
      </c>
      <c r="O18">
        <v>25.125</v>
      </c>
      <c r="P18">
        <v>-3.7356321839080513</v>
      </c>
      <c r="Q18">
        <v>57.4</v>
      </c>
      <c r="R18">
        <v>60.084232130587679</v>
      </c>
      <c r="S18">
        <v>4.6763625968426492</v>
      </c>
      <c r="T18">
        <v>23.7</v>
      </c>
      <c r="U18">
        <v>16.853966392345114</v>
      </c>
      <c r="V18">
        <v>-6.8460336076548849</v>
      </c>
      <c r="W18">
        <v>61.2</v>
      </c>
      <c r="X18">
        <v>55.371001721121132</v>
      </c>
      <c r="Y18">
        <v>-5.8289982788788706</v>
      </c>
    </row>
    <row r="19" spans="1:25" x14ac:dyDescent="0.2">
      <c r="A19" t="s">
        <v>160</v>
      </c>
      <c r="B19">
        <v>3</v>
      </c>
      <c r="C19">
        <v>3.4213501890877795</v>
      </c>
      <c r="D19">
        <v>14.045006302925986</v>
      </c>
      <c r="E19">
        <v>3.2</v>
      </c>
      <c r="F19">
        <v>2.7869831442455535</v>
      </c>
      <c r="G19">
        <v>-12.906776742326459</v>
      </c>
      <c r="H19">
        <v>6.2</v>
      </c>
      <c r="I19">
        <v>6.208333333333333</v>
      </c>
      <c r="J19">
        <v>0.13440860215052999</v>
      </c>
      <c r="K19">
        <v>40</v>
      </c>
      <c r="L19">
        <v>39.145553696340244</v>
      </c>
      <c r="M19">
        <v>-2.1361157591493907</v>
      </c>
      <c r="N19">
        <v>21.3</v>
      </c>
      <c r="O19">
        <v>20.875</v>
      </c>
      <c r="P19">
        <v>-1.9953051643192519</v>
      </c>
      <c r="Q19">
        <v>62.2</v>
      </c>
      <c r="R19">
        <v>67.48467381340221</v>
      </c>
      <c r="S19">
        <v>8.4962601501643196</v>
      </c>
      <c r="T19">
        <v>27.4</v>
      </c>
      <c r="U19">
        <v>21.843597936456632</v>
      </c>
      <c r="V19">
        <v>-5.5564020635433664</v>
      </c>
      <c r="W19">
        <v>64.5</v>
      </c>
      <c r="X19">
        <v>59.813975572032227</v>
      </c>
      <c r="Y19">
        <v>-4.686024427967773</v>
      </c>
    </row>
    <row r="20" spans="1:25" x14ac:dyDescent="0.2">
      <c r="A20" t="s">
        <v>161</v>
      </c>
      <c r="B20">
        <v>2.8</v>
      </c>
      <c r="C20">
        <v>3.1527324328885076</v>
      </c>
      <c r="D20">
        <v>12.597586888875279</v>
      </c>
      <c r="E20">
        <v>4.4000000000000004</v>
      </c>
      <c r="F20">
        <v>3.4722675671114924</v>
      </c>
      <c r="G20">
        <v>-21.08482802019336</v>
      </c>
      <c r="H20">
        <v>7.2</v>
      </c>
      <c r="I20">
        <v>6.625</v>
      </c>
      <c r="J20">
        <v>-7.9861111111111134</v>
      </c>
      <c r="K20">
        <v>43.3</v>
      </c>
      <c r="L20">
        <v>42.802756753192384</v>
      </c>
      <c r="M20">
        <v>-1.1483677755372137</v>
      </c>
      <c r="N20">
        <v>32.799999999999997</v>
      </c>
      <c r="O20">
        <v>32.458333333333329</v>
      </c>
      <c r="P20">
        <v>-1.0416666666666725</v>
      </c>
      <c r="Q20">
        <v>57.7</v>
      </c>
      <c r="R20">
        <v>61.387726193990439</v>
      </c>
      <c r="S20">
        <v>6.3912065753733716</v>
      </c>
      <c r="T20">
        <v>0</v>
      </c>
      <c r="U20">
        <v>0</v>
      </c>
      <c r="V20">
        <v>0</v>
      </c>
      <c r="W20">
        <v>2.9</v>
      </c>
      <c r="X20">
        <v>0</v>
      </c>
      <c r="Y20">
        <v>-2.9</v>
      </c>
    </row>
    <row r="21" spans="1:25" x14ac:dyDescent="0.2">
      <c r="A21" t="s">
        <v>162</v>
      </c>
      <c r="B21">
        <v>3.3</v>
      </c>
      <c r="C21">
        <v>3.6989865392649204</v>
      </c>
      <c r="D21">
        <v>12.090501189846078</v>
      </c>
      <c r="E21">
        <v>2.7</v>
      </c>
      <c r="F21">
        <v>2.3426801274017457</v>
      </c>
      <c r="G21">
        <v>-13.234069355490908</v>
      </c>
      <c r="H21">
        <v>6</v>
      </c>
      <c r="I21">
        <v>6.0416666666666661</v>
      </c>
      <c r="J21">
        <v>0.69444444444443465</v>
      </c>
      <c r="K21">
        <v>49.9</v>
      </c>
      <c r="L21">
        <v>49.997666839841798</v>
      </c>
      <c r="M21">
        <v>0.19572512994348681</v>
      </c>
      <c r="N21">
        <v>30.1</v>
      </c>
      <c r="O21">
        <v>32.458333333333329</v>
      </c>
      <c r="P21">
        <v>7.8349944629014194</v>
      </c>
      <c r="Q21">
        <v>60.8</v>
      </c>
      <c r="R21">
        <v>65.95682339232205</v>
      </c>
      <c r="S21">
        <v>8.4816174215823246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2">
      <c r="A22" t="s">
        <v>163</v>
      </c>
      <c r="B22">
        <v>3.2</v>
      </c>
      <c r="C22">
        <v>3.7042107108555404</v>
      </c>
      <c r="D22">
        <v>15.756584714235633</v>
      </c>
      <c r="E22">
        <v>3.4</v>
      </c>
      <c r="F22">
        <v>2.6707892891444596</v>
      </c>
      <c r="G22">
        <v>-21.447373848692365</v>
      </c>
      <c r="H22">
        <v>6.6</v>
      </c>
      <c r="I22">
        <v>6.375</v>
      </c>
      <c r="J22">
        <v>-3.4090909090909038</v>
      </c>
      <c r="K22">
        <v>44.1</v>
      </c>
      <c r="L22">
        <v>44.40968896793548</v>
      </c>
      <c r="M22">
        <v>0.70224255767682275</v>
      </c>
      <c r="N22">
        <v>26.1</v>
      </c>
      <c r="O22">
        <v>29.291666666666664</v>
      </c>
      <c r="P22">
        <v>12.228607918263075</v>
      </c>
      <c r="Q22">
        <v>58.3</v>
      </c>
      <c r="R22">
        <v>62.668206654379908</v>
      </c>
      <c r="S22">
        <v>7.4926357708060216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2">
      <c r="A23" t="s">
        <v>164</v>
      </c>
      <c r="B23">
        <v>3</v>
      </c>
      <c r="C23">
        <v>3.4430181076222839</v>
      </c>
      <c r="D23">
        <v>14.767270254076129</v>
      </c>
      <c r="E23">
        <v>3.3</v>
      </c>
      <c r="F23">
        <v>2.9319818923777161</v>
      </c>
      <c r="G23">
        <v>-11.152063867341932</v>
      </c>
      <c r="H23">
        <v>6.3</v>
      </c>
      <c r="I23">
        <v>6.375</v>
      </c>
      <c r="J23">
        <v>1.1904761904761934</v>
      </c>
      <c r="K23">
        <v>48.3</v>
      </c>
      <c r="L23">
        <v>49.004971275158653</v>
      </c>
      <c r="M23">
        <v>1.4595678574713364</v>
      </c>
      <c r="N23">
        <v>34.799999999999997</v>
      </c>
      <c r="O23">
        <v>39.708333333333329</v>
      </c>
      <c r="P23">
        <v>14.104406130268195</v>
      </c>
      <c r="Q23">
        <v>63.6</v>
      </c>
      <c r="R23">
        <v>61.519127412330882</v>
      </c>
      <c r="S23">
        <v>-3.2718122447627671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23"/>
  <sheetViews>
    <sheetView workbookViewId="0">
      <selection activeCell="A2" sqref="A2:Y23"/>
    </sheetView>
  </sheetViews>
  <sheetFormatPr baseColWidth="10" defaultColWidth="8.83203125" defaultRowHeight="15" x14ac:dyDescent="0.2"/>
  <cols>
    <col min="1" max="1" width="9.6640625" customWidth="1"/>
    <col min="2" max="2" width="16.33203125" customWidth="1"/>
    <col min="3" max="3" width="22.33203125" customWidth="1"/>
    <col min="4" max="4" width="20" customWidth="1"/>
    <col min="5" max="5" width="16.33203125" customWidth="1"/>
    <col min="6" max="6" width="22.33203125" customWidth="1"/>
    <col min="7" max="7" width="20" customWidth="1"/>
    <col min="8" max="8" width="18.5" customWidth="1"/>
    <col min="9" max="9" width="24.5" customWidth="1"/>
    <col min="10" max="10" width="22.1640625" customWidth="1"/>
    <col min="11" max="11" width="13.5" customWidth="1"/>
    <col min="12" max="12" width="19.5" customWidth="1"/>
    <col min="13" max="13" width="21.83203125" customWidth="1"/>
    <col min="14" max="14" width="14.5" customWidth="1"/>
    <col min="15" max="15" width="20.5" customWidth="1"/>
    <col min="16" max="16" width="22.83203125" customWidth="1"/>
    <col min="17" max="17" width="15.5" customWidth="1"/>
    <col min="18" max="18" width="21.5" customWidth="1"/>
    <col min="19" max="19" width="24" customWidth="1"/>
    <col min="20" max="20" width="12.5" customWidth="1"/>
    <col min="21" max="21" width="18.5" customWidth="1"/>
    <col min="22" max="22" width="22.6640625" customWidth="1"/>
    <col min="23" max="23" width="12.5" customWidth="1"/>
    <col min="24" max="24" width="18.5" customWidth="1"/>
    <col min="25" max="25" width="22.6640625" customWidth="1"/>
  </cols>
  <sheetData>
    <row r="1" spans="1:25" x14ac:dyDescent="0.2">
      <c r="A1" t="s">
        <v>189</v>
      </c>
      <c r="B1" t="s">
        <v>212</v>
      </c>
      <c r="C1" t="s">
        <v>213</v>
      </c>
      <c r="D1" t="s">
        <v>214</v>
      </c>
      <c r="E1" t="s">
        <v>215</v>
      </c>
      <c r="F1" t="s">
        <v>216</v>
      </c>
      <c r="G1" t="s">
        <v>217</v>
      </c>
      <c r="H1" t="s">
        <v>218</v>
      </c>
      <c r="I1" t="s">
        <v>219</v>
      </c>
      <c r="J1" t="s">
        <v>220</v>
      </c>
      <c r="K1" t="s">
        <v>221</v>
      </c>
      <c r="L1" t="s">
        <v>222</v>
      </c>
      <c r="M1" t="s">
        <v>223</v>
      </c>
      <c r="N1" t="s">
        <v>224</v>
      </c>
      <c r="O1" t="s">
        <v>225</v>
      </c>
      <c r="P1" t="s">
        <v>226</v>
      </c>
      <c r="Q1" t="s">
        <v>227</v>
      </c>
      <c r="R1" t="s">
        <v>228</v>
      </c>
      <c r="S1" t="s">
        <v>229</v>
      </c>
      <c r="T1" t="s">
        <v>230</v>
      </c>
      <c r="U1" t="s">
        <v>231</v>
      </c>
      <c r="V1" t="s">
        <v>232</v>
      </c>
      <c r="W1" t="s">
        <v>233</v>
      </c>
      <c r="X1" t="s">
        <v>234</v>
      </c>
      <c r="Y1" t="s">
        <v>235</v>
      </c>
    </row>
    <row r="2" spans="1:25" x14ac:dyDescent="0.2">
      <c r="A2" t="s">
        <v>190</v>
      </c>
      <c r="B2">
        <v>5</v>
      </c>
      <c r="C2">
        <v>5.3535057987577286</v>
      </c>
      <c r="D2">
        <v>7.0701159751545717</v>
      </c>
      <c r="E2">
        <v>1.5</v>
      </c>
      <c r="F2">
        <v>1.1881608679089375</v>
      </c>
      <c r="G2">
        <v>-20.789275472737501</v>
      </c>
      <c r="H2">
        <v>6.5</v>
      </c>
      <c r="I2">
        <v>6.5416666666666661</v>
      </c>
      <c r="J2">
        <v>0.64102564102563186</v>
      </c>
      <c r="K2">
        <v>37.1</v>
      </c>
      <c r="L2">
        <v>37.240161119006927</v>
      </c>
      <c r="M2">
        <v>0.37779277360357433</v>
      </c>
      <c r="N2">
        <v>21.2</v>
      </c>
      <c r="O2">
        <v>25.291666666666664</v>
      </c>
      <c r="P2">
        <v>19.300314465408796</v>
      </c>
      <c r="Q2">
        <v>66.5</v>
      </c>
      <c r="R2">
        <v>73.716869451041973</v>
      </c>
      <c r="S2">
        <v>10.85243526472477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2">
      <c r="A3" t="s">
        <v>191</v>
      </c>
      <c r="B3">
        <v>4.8</v>
      </c>
      <c r="C3">
        <v>5.1062718898061998</v>
      </c>
      <c r="D3">
        <v>6.3806643709625011</v>
      </c>
      <c r="E3">
        <v>1.6</v>
      </c>
      <c r="F3">
        <v>1.2687281101938002</v>
      </c>
      <c r="G3">
        <v>-20.704493112887494</v>
      </c>
      <c r="H3">
        <v>6.4</v>
      </c>
      <c r="I3">
        <v>6.375</v>
      </c>
      <c r="J3">
        <v>-0.39062500000000555</v>
      </c>
      <c r="K3">
        <v>39.5</v>
      </c>
      <c r="L3">
        <v>39.544111777855704</v>
      </c>
      <c r="M3">
        <v>0.11167538697646659</v>
      </c>
      <c r="N3">
        <v>23.2</v>
      </c>
      <c r="O3">
        <v>26.125</v>
      </c>
      <c r="P3">
        <v>12.607758620689658</v>
      </c>
      <c r="Q3">
        <v>60.6</v>
      </c>
      <c r="R3">
        <v>73.196886071693783</v>
      </c>
      <c r="S3">
        <v>20.786940712365976</v>
      </c>
      <c r="T3">
        <v>0</v>
      </c>
      <c r="U3">
        <v>0</v>
      </c>
      <c r="V3">
        <v>0</v>
      </c>
      <c r="W3">
        <v>4.2</v>
      </c>
      <c r="X3">
        <v>2.6299012727785822</v>
      </c>
      <c r="Y3">
        <v>-1.570098727221418</v>
      </c>
    </row>
    <row r="4" spans="1:25" x14ac:dyDescent="0.2">
      <c r="A4" t="s">
        <v>192</v>
      </c>
      <c r="B4">
        <v>5.0999999999999996</v>
      </c>
      <c r="C4">
        <v>5.4127234374521667</v>
      </c>
      <c r="D4">
        <v>6.1318321069052359</v>
      </c>
      <c r="E4">
        <v>1.8</v>
      </c>
      <c r="F4">
        <v>1.5456098958811664</v>
      </c>
      <c r="G4">
        <v>-14.132783562157424</v>
      </c>
      <c r="H4">
        <v>6.8999999999999995</v>
      </c>
      <c r="I4">
        <v>6.958333333333333</v>
      </c>
      <c r="J4">
        <v>0.8454106280193272</v>
      </c>
      <c r="K4">
        <v>34.9</v>
      </c>
      <c r="L4">
        <v>35.11969567437103</v>
      </c>
      <c r="M4">
        <v>0.62950049963046328</v>
      </c>
      <c r="N4">
        <v>21.4</v>
      </c>
      <c r="O4">
        <v>26.458333333333332</v>
      </c>
      <c r="P4">
        <v>23.637071651090345</v>
      </c>
      <c r="Q4">
        <v>64.3</v>
      </c>
      <c r="R4">
        <v>69.587045564848935</v>
      </c>
      <c r="S4">
        <v>8.2224658862347404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2">
      <c r="A5" t="s">
        <v>193</v>
      </c>
      <c r="B5">
        <v>5</v>
      </c>
      <c r="C5">
        <v>5.3345838660096447</v>
      </c>
      <c r="D5">
        <v>6.6916773201928947</v>
      </c>
      <c r="E5">
        <v>2.1</v>
      </c>
      <c r="F5">
        <v>1.8737494673236883</v>
      </c>
      <c r="G5">
        <v>-10.77383488934818</v>
      </c>
      <c r="H5">
        <v>7.1</v>
      </c>
      <c r="I5">
        <v>7.208333333333333</v>
      </c>
      <c r="J5">
        <v>1.5258215962441324</v>
      </c>
      <c r="K5">
        <v>30.9</v>
      </c>
      <c r="L5">
        <v>30.439171964676589</v>
      </c>
      <c r="M5">
        <v>-1.491352865124302</v>
      </c>
      <c r="N5">
        <v>16.7</v>
      </c>
      <c r="O5">
        <v>17.875</v>
      </c>
      <c r="P5">
        <v>7.0359281437125789</v>
      </c>
      <c r="Q5">
        <v>61.8</v>
      </c>
      <c r="R5">
        <v>67.627009868849925</v>
      </c>
      <c r="S5">
        <v>9.428818558009592</v>
      </c>
      <c r="T5">
        <v>30.5</v>
      </c>
      <c r="U5">
        <v>30.000343445471671</v>
      </c>
      <c r="V5">
        <v>-0.49965655452832891</v>
      </c>
      <c r="W5">
        <v>65.8</v>
      </c>
      <c r="X5">
        <v>63.946933437873511</v>
      </c>
      <c r="Y5">
        <v>-1.8530665621264859</v>
      </c>
    </row>
    <row r="6" spans="1:25" x14ac:dyDescent="0.2">
      <c r="A6" t="s">
        <v>194</v>
      </c>
      <c r="B6">
        <v>5.0999999999999996</v>
      </c>
      <c r="C6">
        <v>5.4201527362529749</v>
      </c>
      <c r="D6">
        <v>6.2775046324112793</v>
      </c>
      <c r="E6">
        <v>2</v>
      </c>
      <c r="F6">
        <v>1.7048472637470251</v>
      </c>
      <c r="G6">
        <v>-14.757636812648744</v>
      </c>
      <c r="H6">
        <v>7.1</v>
      </c>
      <c r="I6">
        <v>7.125</v>
      </c>
      <c r="J6">
        <v>0.35211267605634305</v>
      </c>
      <c r="K6">
        <v>32.5</v>
      </c>
      <c r="L6">
        <v>31.801388675904263</v>
      </c>
      <c r="M6">
        <v>-2.1495733049099583</v>
      </c>
      <c r="N6">
        <v>22.1</v>
      </c>
      <c r="O6">
        <v>24.041666666666664</v>
      </c>
      <c r="P6">
        <v>8.7858220211161218</v>
      </c>
      <c r="Q6">
        <v>63.6</v>
      </c>
      <c r="R6">
        <v>68.524637354992578</v>
      </c>
      <c r="S6">
        <v>7.7431404952713461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2">
      <c r="A7" t="s">
        <v>195</v>
      </c>
      <c r="B7">
        <v>8</v>
      </c>
      <c r="C7">
        <v>8.1395890558738166</v>
      </c>
      <c r="D7">
        <v>1.7448631984227081</v>
      </c>
      <c r="E7">
        <v>2.2000000000000002</v>
      </c>
      <c r="F7">
        <v>2.1520776107928494</v>
      </c>
      <c r="G7">
        <v>-2.1782904185068523</v>
      </c>
      <c r="H7">
        <v>10.199999999999999</v>
      </c>
      <c r="I7">
        <v>10.291666666666666</v>
      </c>
      <c r="J7">
        <v>0.89869281045751748</v>
      </c>
      <c r="K7">
        <v>58.8</v>
      </c>
      <c r="L7">
        <v>58.822556520134</v>
      </c>
      <c r="M7">
        <v>3.8361428799325206E-2</v>
      </c>
      <c r="N7">
        <v>39.5</v>
      </c>
      <c r="O7">
        <v>42.791666666666664</v>
      </c>
      <c r="P7">
        <v>8.3333333333333268</v>
      </c>
      <c r="Q7">
        <v>55.1</v>
      </c>
      <c r="R7">
        <v>60.92723591916495</v>
      </c>
      <c r="S7">
        <v>10.575745769809345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2">
      <c r="A8" t="s">
        <v>196</v>
      </c>
      <c r="B8">
        <v>4.9000000000000004</v>
      </c>
      <c r="C8">
        <v>5.2326723213399697</v>
      </c>
      <c r="D8">
        <v>6.7892310477544768</v>
      </c>
      <c r="E8">
        <v>1.4</v>
      </c>
      <c r="F8">
        <v>1.1423276786600303</v>
      </c>
      <c r="G8">
        <v>-18.405165809997833</v>
      </c>
      <c r="H8">
        <v>6.3000000000000007</v>
      </c>
      <c r="I8">
        <v>6.375</v>
      </c>
      <c r="J8">
        <v>1.1904761904761791</v>
      </c>
      <c r="K8">
        <v>43.7</v>
      </c>
      <c r="L8">
        <v>44.402195155352395</v>
      </c>
      <c r="M8">
        <v>1.6068539024082193</v>
      </c>
      <c r="N8">
        <v>22.4</v>
      </c>
      <c r="O8">
        <v>28.291666666666664</v>
      </c>
      <c r="P8">
        <v>26.302083333333332</v>
      </c>
      <c r="Q8">
        <v>68.099999999999994</v>
      </c>
      <c r="R8">
        <v>75.195159046910817</v>
      </c>
      <c r="S8">
        <v>10.418735751704586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2">
      <c r="A9" t="s">
        <v>197</v>
      </c>
      <c r="B9">
        <v>4.9000000000000004</v>
      </c>
      <c r="C9">
        <v>5.1717608470612522</v>
      </c>
      <c r="D9">
        <v>5.546139735943914</v>
      </c>
      <c r="E9">
        <v>1.3</v>
      </c>
      <c r="F9">
        <v>1.0365724862720809</v>
      </c>
      <c r="G9">
        <v>-20.263654902147628</v>
      </c>
      <c r="H9">
        <v>6.2</v>
      </c>
      <c r="I9">
        <v>6.208333333333333</v>
      </c>
      <c r="J9">
        <v>0.13440860215052999</v>
      </c>
      <c r="K9">
        <v>44.2</v>
      </c>
      <c r="L9">
        <v>44.022185566299541</v>
      </c>
      <c r="M9">
        <v>-0.40229509886982329</v>
      </c>
      <c r="N9">
        <v>21.9</v>
      </c>
      <c r="O9">
        <v>24.208333333333332</v>
      </c>
      <c r="P9">
        <v>10.540334855403351</v>
      </c>
      <c r="Q9">
        <v>63.6</v>
      </c>
      <c r="R9">
        <v>77.163189909814747</v>
      </c>
      <c r="S9">
        <v>21.325770298450859</v>
      </c>
      <c r="T9">
        <v>0</v>
      </c>
      <c r="U9">
        <v>0</v>
      </c>
      <c r="V9">
        <v>0</v>
      </c>
      <c r="W9">
        <v>18</v>
      </c>
      <c r="X9">
        <v>18.31580518955046</v>
      </c>
      <c r="Y9">
        <v>0.31580518955045989</v>
      </c>
    </row>
    <row r="10" spans="1:25" x14ac:dyDescent="0.2">
      <c r="A10" t="s">
        <v>198</v>
      </c>
      <c r="B10">
        <v>4.9000000000000004</v>
      </c>
      <c r="C10">
        <v>5.2160401487176538</v>
      </c>
      <c r="D10">
        <v>6.4497989534214968</v>
      </c>
      <c r="E10">
        <v>1.5</v>
      </c>
      <c r="F10">
        <v>1.2422931846156793</v>
      </c>
      <c r="G10">
        <v>-17.180454358954712</v>
      </c>
      <c r="H10">
        <v>6.4</v>
      </c>
      <c r="I10">
        <v>6.458333333333333</v>
      </c>
      <c r="J10">
        <v>0.91145833333332316</v>
      </c>
      <c r="K10">
        <v>42.1</v>
      </c>
      <c r="L10">
        <v>41.632759844543379</v>
      </c>
      <c r="M10">
        <v>-1.1098340984717865</v>
      </c>
      <c r="N10">
        <v>18.899999999999999</v>
      </c>
      <c r="O10">
        <v>18.958333333333332</v>
      </c>
      <c r="P10">
        <v>0.30864197530864323</v>
      </c>
      <c r="Q10">
        <v>61.3</v>
      </c>
      <c r="R10">
        <v>74.530754301638865</v>
      </c>
      <c r="S10">
        <v>21.5836122375838</v>
      </c>
      <c r="T10">
        <v>48.5</v>
      </c>
      <c r="U10">
        <v>43.253384599591627</v>
      </c>
      <c r="V10">
        <v>-5.2466154004083734</v>
      </c>
      <c r="W10">
        <v>75.2</v>
      </c>
      <c r="X10">
        <v>71.262726353978877</v>
      </c>
      <c r="Y10">
        <v>-3.9372736460211257</v>
      </c>
    </row>
    <row r="11" spans="1:25" x14ac:dyDescent="0.2">
      <c r="A11" t="s">
        <v>199</v>
      </c>
      <c r="B11">
        <v>5.2</v>
      </c>
      <c r="C11">
        <v>5.5034552974879141</v>
      </c>
      <c r="D11">
        <v>5.8356787978444977</v>
      </c>
      <c r="E11">
        <v>1.5</v>
      </c>
      <c r="F11">
        <v>1.1215447025120859</v>
      </c>
      <c r="G11">
        <v>-25.230353165860937</v>
      </c>
      <c r="H11">
        <v>6.7</v>
      </c>
      <c r="I11">
        <v>6.625</v>
      </c>
      <c r="J11">
        <v>-1.1194029850746294</v>
      </c>
      <c r="K11">
        <v>39.9</v>
      </c>
      <c r="L11">
        <v>39.351823988070379</v>
      </c>
      <c r="M11">
        <v>-1.3738747166155882</v>
      </c>
      <c r="N11">
        <v>20.2</v>
      </c>
      <c r="O11">
        <v>21.208333333333332</v>
      </c>
      <c r="P11">
        <v>4.9917491749174898</v>
      </c>
      <c r="Q11">
        <v>66.5</v>
      </c>
      <c r="R11">
        <v>73.976984108528981</v>
      </c>
      <c r="S11">
        <v>11.24358512560749</v>
      </c>
      <c r="T11">
        <v>4</v>
      </c>
      <c r="U11">
        <v>2.2130707497068869</v>
      </c>
      <c r="V11">
        <v>-1.7869292502931131</v>
      </c>
      <c r="W11">
        <v>40.200000000000003</v>
      </c>
      <c r="X11">
        <v>38.586180800271244</v>
      </c>
      <c r="Y11">
        <v>-1.6138191997287592</v>
      </c>
    </row>
    <row r="12" spans="1:25" x14ac:dyDescent="0.2">
      <c r="A12" t="s">
        <v>200</v>
      </c>
      <c r="B12">
        <v>5.0999999999999996</v>
      </c>
      <c r="C12">
        <v>5.3328313897468043</v>
      </c>
      <c r="D12">
        <v>4.5653213675844047</v>
      </c>
      <c r="E12">
        <v>2.7</v>
      </c>
      <c r="F12">
        <v>2.3755019435865288</v>
      </c>
      <c r="G12">
        <v>-12.018446533832273</v>
      </c>
      <c r="H12">
        <v>7.8</v>
      </c>
      <c r="I12">
        <v>7.708333333333333</v>
      </c>
      <c r="J12">
        <v>-1.1752136752136768</v>
      </c>
      <c r="K12">
        <v>29.7</v>
      </c>
      <c r="L12">
        <v>29.188249950941145</v>
      </c>
      <c r="M12">
        <v>-1.7230641382452998</v>
      </c>
      <c r="N12">
        <v>21</v>
      </c>
      <c r="O12">
        <v>23.291666666666664</v>
      </c>
      <c r="P12">
        <v>10.912698412698402</v>
      </c>
      <c r="Q12">
        <v>58.4</v>
      </c>
      <c r="R12">
        <v>64.878431294431664</v>
      </c>
      <c r="S12">
        <v>11.093204271287098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2">
      <c r="A13" t="s">
        <v>201</v>
      </c>
      <c r="B13">
        <v>4.9000000000000004</v>
      </c>
      <c r="C13">
        <v>5.3437776761903102</v>
      </c>
      <c r="D13">
        <v>9.0566872691899967</v>
      </c>
      <c r="E13">
        <v>1.4</v>
      </c>
      <c r="F13">
        <v>1.0312223238096898</v>
      </c>
      <c r="G13">
        <v>-26.34126258502215</v>
      </c>
      <c r="H13">
        <v>6.3000000000000007</v>
      </c>
      <c r="I13">
        <v>6.375</v>
      </c>
      <c r="J13">
        <v>1.1904761904761791</v>
      </c>
      <c r="K13">
        <v>40.700000000000003</v>
      </c>
      <c r="L13">
        <v>41.374144751077367</v>
      </c>
      <c r="M13">
        <v>1.656375309772393</v>
      </c>
      <c r="N13">
        <v>23.4</v>
      </c>
      <c r="O13">
        <v>29.958333333333332</v>
      </c>
      <c r="P13">
        <v>28.027065527065531</v>
      </c>
      <c r="Q13">
        <v>68.8</v>
      </c>
      <c r="R13">
        <v>75.259343077480494</v>
      </c>
      <c r="S13">
        <v>9.3885800544774671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2">
      <c r="A14" t="s">
        <v>202</v>
      </c>
      <c r="B14">
        <v>9.6999999999999993</v>
      </c>
      <c r="C14">
        <v>9.969177860822338</v>
      </c>
      <c r="D14">
        <v>2.7750294930138018</v>
      </c>
      <c r="E14">
        <v>1.7</v>
      </c>
      <c r="F14">
        <v>1.322488805844328</v>
      </c>
      <c r="G14">
        <v>-22.206540832686585</v>
      </c>
      <c r="H14">
        <v>11.399999999999999</v>
      </c>
      <c r="I14">
        <v>11.291666666666666</v>
      </c>
      <c r="J14">
        <v>-0.95029239766081153</v>
      </c>
      <c r="K14">
        <v>43.2</v>
      </c>
      <c r="L14">
        <v>41.582441681293091</v>
      </c>
      <c r="M14">
        <v>-3.7443479599697036</v>
      </c>
      <c r="N14">
        <v>23.2</v>
      </c>
      <c r="O14">
        <v>21.375</v>
      </c>
      <c r="P14">
        <v>-7.8663793103448247</v>
      </c>
      <c r="Q14">
        <v>64.2</v>
      </c>
      <c r="R14">
        <v>65.010894947324005</v>
      </c>
      <c r="S14">
        <v>1.2630762419376973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2">
      <c r="A15" t="s">
        <v>203</v>
      </c>
      <c r="B15">
        <v>4.8</v>
      </c>
      <c r="C15">
        <v>5.1743210615420132</v>
      </c>
      <c r="D15">
        <v>7.7983554487919466</v>
      </c>
      <c r="E15">
        <v>1.6</v>
      </c>
      <c r="F15">
        <v>1.2840122717913198</v>
      </c>
      <c r="G15">
        <v>-19.749233013042517</v>
      </c>
      <c r="H15">
        <v>6.4</v>
      </c>
      <c r="I15">
        <v>6.458333333333333</v>
      </c>
      <c r="J15">
        <v>0.91145833333332316</v>
      </c>
      <c r="K15">
        <v>41.6</v>
      </c>
      <c r="L15">
        <v>40.797992521037393</v>
      </c>
      <c r="M15">
        <v>-1.9279025936601153</v>
      </c>
      <c r="N15">
        <v>24.1</v>
      </c>
      <c r="O15">
        <v>23.125</v>
      </c>
      <c r="P15">
        <v>-4.045643153526977</v>
      </c>
      <c r="Q15">
        <v>61.1</v>
      </c>
      <c r="R15">
        <v>73.278954812960933</v>
      </c>
      <c r="S15">
        <v>19.932822934469609</v>
      </c>
      <c r="T15">
        <v>30.5</v>
      </c>
      <c r="U15">
        <v>23.48339993616429</v>
      </c>
      <c r="V15">
        <v>-7.0166000638357104</v>
      </c>
      <c r="W15">
        <v>65.5</v>
      </c>
      <c r="X15">
        <v>59.988553032383514</v>
      </c>
      <c r="Y15">
        <v>-5.5114469676164859</v>
      </c>
    </row>
    <row r="16" spans="1:25" x14ac:dyDescent="0.2">
      <c r="A16" t="s">
        <v>204</v>
      </c>
      <c r="B16">
        <v>4.7</v>
      </c>
      <c r="C16">
        <v>5.0858533323416761</v>
      </c>
      <c r="D16">
        <v>8.2096453689718274</v>
      </c>
      <c r="E16">
        <v>1.8</v>
      </c>
      <c r="F16">
        <v>2.1224800009916569</v>
      </c>
      <c r="G16">
        <v>17.915555610647601</v>
      </c>
      <c r="H16">
        <v>6.5</v>
      </c>
      <c r="I16">
        <v>7.208333333333333</v>
      </c>
      <c r="J16">
        <v>10.897435897435894</v>
      </c>
      <c r="K16">
        <v>37.5</v>
      </c>
      <c r="L16">
        <v>35.018765483851894</v>
      </c>
      <c r="M16">
        <v>-6.6166253763949499</v>
      </c>
      <c r="N16">
        <v>25.6</v>
      </c>
      <c r="O16">
        <v>15.541666666666666</v>
      </c>
      <c r="P16">
        <v>-39.290364583333336</v>
      </c>
      <c r="Q16">
        <v>60.9</v>
      </c>
      <c r="R16">
        <v>65.318660012915984</v>
      </c>
      <c r="S16">
        <v>7.2555993643940653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2">
      <c r="A17" t="s">
        <v>205</v>
      </c>
      <c r="B17">
        <v>4.8</v>
      </c>
      <c r="C17">
        <v>5.1370139935327259</v>
      </c>
      <c r="D17">
        <v>7.0211248652651275</v>
      </c>
      <c r="E17">
        <v>1.6</v>
      </c>
      <c r="F17">
        <v>1.4046526731339402</v>
      </c>
      <c r="G17">
        <v>-12.209207929128747</v>
      </c>
      <c r="H17">
        <v>6.4</v>
      </c>
      <c r="I17">
        <v>6.5416666666666661</v>
      </c>
      <c r="J17">
        <v>2.2135416666666519</v>
      </c>
      <c r="K17">
        <v>43.4</v>
      </c>
      <c r="L17">
        <v>43.20430500496915</v>
      </c>
      <c r="M17">
        <v>-0.4509101267991899</v>
      </c>
      <c r="N17">
        <v>27.9</v>
      </c>
      <c r="O17">
        <v>31.541666666666664</v>
      </c>
      <c r="P17">
        <v>13.052568697729985</v>
      </c>
      <c r="Q17">
        <v>62</v>
      </c>
      <c r="R17">
        <v>72.54749433385247</v>
      </c>
      <c r="S17">
        <v>17.012087635245919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2">
      <c r="A18" t="s">
        <v>206</v>
      </c>
      <c r="B18">
        <v>4.9000000000000004</v>
      </c>
      <c r="C18">
        <v>5.2379522821722588</v>
      </c>
      <c r="D18">
        <v>6.8969853504542549</v>
      </c>
      <c r="E18">
        <v>1.6</v>
      </c>
      <c r="F18">
        <v>1.3870477178277412</v>
      </c>
      <c r="G18">
        <v>-13.309517635766182</v>
      </c>
      <c r="H18">
        <v>6.5</v>
      </c>
      <c r="I18">
        <v>6.625</v>
      </c>
      <c r="J18">
        <v>1.9230769230769231</v>
      </c>
      <c r="K18">
        <v>39.4</v>
      </c>
      <c r="L18">
        <v>39.189505965319753</v>
      </c>
      <c r="M18">
        <v>-0.53424881898539356</v>
      </c>
      <c r="N18">
        <v>25</v>
      </c>
      <c r="O18">
        <v>28.375</v>
      </c>
      <c r="P18">
        <v>13.5</v>
      </c>
      <c r="Q18">
        <v>66.2</v>
      </c>
      <c r="R18">
        <v>72.29442861390379</v>
      </c>
      <c r="S18">
        <v>9.2060855194921256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2">
      <c r="A19" t="s">
        <v>207</v>
      </c>
      <c r="B19">
        <v>4.7</v>
      </c>
      <c r="C19">
        <v>4.9281714116675479</v>
      </c>
      <c r="D19">
        <v>4.8547108865435691</v>
      </c>
      <c r="E19">
        <v>1.8</v>
      </c>
      <c r="F19">
        <v>1.5301619216657851</v>
      </c>
      <c r="G19">
        <v>-14.991004351900827</v>
      </c>
      <c r="H19">
        <v>6.5</v>
      </c>
      <c r="I19">
        <v>6.458333333333333</v>
      </c>
      <c r="J19">
        <v>-0.64102564102564563</v>
      </c>
      <c r="K19">
        <v>32.9</v>
      </c>
      <c r="L19">
        <v>32.523425177960888</v>
      </c>
      <c r="M19">
        <v>-1.1446043223073263</v>
      </c>
      <c r="N19">
        <v>17.3</v>
      </c>
      <c r="O19">
        <v>16.041666666666664</v>
      </c>
      <c r="P19">
        <v>-7.2736030828516558</v>
      </c>
      <c r="Q19">
        <v>66.5</v>
      </c>
      <c r="R19">
        <v>70.706969960135496</v>
      </c>
      <c r="S19">
        <v>6.3262706167451057</v>
      </c>
      <c r="T19">
        <v>66.599999999999994</v>
      </c>
      <c r="U19">
        <v>55.457074808517319</v>
      </c>
      <c r="V19">
        <v>-11.142925191482675</v>
      </c>
      <c r="W19">
        <v>83.6</v>
      </c>
      <c r="X19">
        <v>77.226813894723577</v>
      </c>
      <c r="Y19">
        <v>-6.3731861052764174</v>
      </c>
    </row>
    <row r="20" spans="1:25" x14ac:dyDescent="0.2">
      <c r="A20" t="s">
        <v>208</v>
      </c>
      <c r="B20">
        <v>5.2</v>
      </c>
      <c r="C20">
        <v>5.4846948655696917</v>
      </c>
      <c r="D20">
        <v>5.4749012609556047</v>
      </c>
      <c r="E20">
        <v>1.6</v>
      </c>
      <c r="F20">
        <v>1.3069718010969744</v>
      </c>
      <c r="G20">
        <v>-18.314262431439104</v>
      </c>
      <c r="H20">
        <v>6.8000000000000007</v>
      </c>
      <c r="I20">
        <v>6.7916666666666661</v>
      </c>
      <c r="J20">
        <v>-0.12254901960786228</v>
      </c>
      <c r="K20">
        <v>35</v>
      </c>
      <c r="L20">
        <v>33.417340279458287</v>
      </c>
      <c r="M20">
        <v>-4.521884915833466</v>
      </c>
      <c r="N20">
        <v>15.9</v>
      </c>
      <c r="O20">
        <v>13.958333333333332</v>
      </c>
      <c r="P20">
        <v>-12.21174004192873</v>
      </c>
      <c r="Q20">
        <v>66.099999999999994</v>
      </c>
      <c r="R20">
        <v>72.612995050730504</v>
      </c>
      <c r="S20">
        <v>9.8532451599553852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2">
      <c r="A21" t="s">
        <v>209</v>
      </c>
      <c r="B21">
        <v>5.0999999999999996</v>
      </c>
      <c r="C21">
        <v>5.3951114523350849</v>
      </c>
      <c r="D21">
        <v>5.78649906539383</v>
      </c>
      <c r="E21">
        <v>1.8</v>
      </c>
      <c r="F21">
        <v>1.6465552143315811</v>
      </c>
      <c r="G21">
        <v>-8.524710314912161</v>
      </c>
      <c r="H21">
        <v>6.8999999999999995</v>
      </c>
      <c r="I21">
        <v>7.0416666666666661</v>
      </c>
      <c r="J21">
        <v>2.0531400966183568</v>
      </c>
      <c r="K21">
        <v>35.4</v>
      </c>
      <c r="L21">
        <v>34.5074538076409</v>
      </c>
      <c r="M21">
        <v>-2.5213169275680758</v>
      </c>
      <c r="N21">
        <v>22.5</v>
      </c>
      <c r="O21">
        <v>23.958333333333332</v>
      </c>
      <c r="P21">
        <v>6.4814814814814756</v>
      </c>
      <c r="Q21">
        <v>63.1</v>
      </c>
      <c r="R21">
        <v>69.190610230995119</v>
      </c>
      <c r="S21">
        <v>9.6523141537165102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2">
      <c r="A22" t="s">
        <v>210</v>
      </c>
      <c r="B22">
        <v>4.7</v>
      </c>
      <c r="C22">
        <v>5.0799879224856213</v>
      </c>
      <c r="D22">
        <v>8.0848494145876817</v>
      </c>
      <c r="E22">
        <v>2</v>
      </c>
      <c r="F22">
        <v>1.6283454108477118</v>
      </c>
      <c r="G22">
        <v>-18.582729457614413</v>
      </c>
      <c r="H22">
        <v>6.7</v>
      </c>
      <c r="I22">
        <v>6.708333333333333</v>
      </c>
      <c r="J22">
        <v>0.12437810945272924</v>
      </c>
      <c r="K22">
        <v>34.700000000000003</v>
      </c>
      <c r="L22">
        <v>34.438104183658368</v>
      </c>
      <c r="M22">
        <v>-0.75474298657531746</v>
      </c>
      <c r="N22">
        <v>23.1</v>
      </c>
      <c r="O22">
        <v>26.375</v>
      </c>
      <c r="P22">
        <v>14.17748917748917</v>
      </c>
      <c r="Q22">
        <v>60.8</v>
      </c>
      <c r="R22">
        <v>69.993674424706953</v>
      </c>
      <c r="S22">
        <v>15.121175040636443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2">
      <c r="A23" t="s">
        <v>211</v>
      </c>
      <c r="B23">
        <v>4.8</v>
      </c>
      <c r="C23">
        <v>5.1060472091278779</v>
      </c>
      <c r="D23">
        <v>6.3759835234974611</v>
      </c>
      <c r="E23">
        <v>2.2000000000000002</v>
      </c>
      <c r="F23">
        <v>1.7689527908721221</v>
      </c>
      <c r="G23">
        <v>-19.593054960358096</v>
      </c>
      <c r="H23">
        <v>7</v>
      </c>
      <c r="I23">
        <v>6.875</v>
      </c>
      <c r="J23">
        <v>-1.7857142857142856</v>
      </c>
      <c r="K23">
        <v>33.700000000000003</v>
      </c>
      <c r="L23">
        <v>33.038864525918378</v>
      </c>
      <c r="M23">
        <v>-1.9618263325864254</v>
      </c>
      <c r="N23">
        <v>19.2</v>
      </c>
      <c r="O23">
        <v>18.625</v>
      </c>
      <c r="P23">
        <v>-2.994791666666663</v>
      </c>
      <c r="Q23">
        <v>51.5</v>
      </c>
      <c r="R23">
        <v>68.303238504482067</v>
      </c>
      <c r="S23">
        <v>32.627647581518573</v>
      </c>
      <c r="T23">
        <v>38.4</v>
      </c>
      <c r="U23">
        <v>31.591064236095917</v>
      </c>
      <c r="V23">
        <v>-6.8089357639040813</v>
      </c>
      <c r="W23">
        <v>69.599999999999994</v>
      </c>
      <c r="X23">
        <v>64.497301855273932</v>
      </c>
      <c r="Y23">
        <v>-5.1026981447260624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23"/>
  <sheetViews>
    <sheetView workbookViewId="0">
      <selection activeCell="A2" sqref="A2:Y23"/>
    </sheetView>
  </sheetViews>
  <sheetFormatPr baseColWidth="10" defaultColWidth="8.83203125" defaultRowHeight="15" x14ac:dyDescent="0.2"/>
  <cols>
    <col min="1" max="1" width="9.6640625" customWidth="1"/>
    <col min="2" max="2" width="16.33203125" customWidth="1"/>
    <col min="3" max="3" width="22.33203125" customWidth="1"/>
    <col min="4" max="4" width="20" customWidth="1"/>
    <col min="5" max="5" width="16.33203125" customWidth="1"/>
    <col min="6" max="6" width="22.33203125" customWidth="1"/>
    <col min="7" max="7" width="20" customWidth="1"/>
    <col min="8" max="8" width="18.5" customWidth="1"/>
    <col min="9" max="9" width="24.5" customWidth="1"/>
    <col min="10" max="10" width="22.1640625" customWidth="1"/>
    <col min="11" max="11" width="13.5" customWidth="1"/>
    <col min="12" max="12" width="19.5" customWidth="1"/>
    <col min="13" max="13" width="21.83203125" customWidth="1"/>
    <col min="14" max="14" width="14.5" customWidth="1"/>
    <col min="15" max="15" width="20.5" customWidth="1"/>
    <col min="16" max="16" width="22.83203125" customWidth="1"/>
    <col min="17" max="17" width="15.5" customWidth="1"/>
    <col min="18" max="18" width="21.5" customWidth="1"/>
    <col min="19" max="19" width="24" customWidth="1"/>
    <col min="20" max="20" width="12.5" customWidth="1"/>
    <col min="21" max="21" width="18.5" customWidth="1"/>
    <col min="22" max="22" width="22.6640625" customWidth="1"/>
    <col min="23" max="23" width="12.5" customWidth="1"/>
    <col min="24" max="24" width="18.5" customWidth="1"/>
    <col min="25" max="25" width="22.6640625" customWidth="1"/>
  </cols>
  <sheetData>
    <row r="1" spans="1:25" x14ac:dyDescent="0.2">
      <c r="A1" t="s">
        <v>236</v>
      </c>
      <c r="B1" t="s">
        <v>259</v>
      </c>
      <c r="C1" t="s">
        <v>260</v>
      </c>
      <c r="D1" t="s">
        <v>261</v>
      </c>
      <c r="E1" t="s">
        <v>262</v>
      </c>
      <c r="F1" t="s">
        <v>263</v>
      </c>
      <c r="G1" t="s">
        <v>264</v>
      </c>
      <c r="H1" t="s">
        <v>265</v>
      </c>
      <c r="I1" t="s">
        <v>266</v>
      </c>
      <c r="J1" t="s">
        <v>267</v>
      </c>
      <c r="K1" t="s">
        <v>268</v>
      </c>
      <c r="L1" t="s">
        <v>269</v>
      </c>
      <c r="M1" t="s">
        <v>270</v>
      </c>
      <c r="N1" t="s">
        <v>271</v>
      </c>
      <c r="O1" t="s">
        <v>272</v>
      </c>
      <c r="P1" t="s">
        <v>273</v>
      </c>
      <c r="Q1" t="s">
        <v>274</v>
      </c>
      <c r="R1" t="s">
        <v>275</v>
      </c>
      <c r="S1" t="s">
        <v>276</v>
      </c>
      <c r="T1" t="s">
        <v>277</v>
      </c>
      <c r="U1" t="s">
        <v>278</v>
      </c>
      <c r="V1" t="s">
        <v>279</v>
      </c>
      <c r="W1" t="s">
        <v>280</v>
      </c>
      <c r="X1" t="s">
        <v>281</v>
      </c>
      <c r="Y1" t="s">
        <v>282</v>
      </c>
    </row>
    <row r="2" spans="1:25" x14ac:dyDescent="0.2">
      <c r="A2" t="s">
        <v>237</v>
      </c>
      <c r="B2">
        <v>4.2</v>
      </c>
      <c r="C2">
        <v>4.5400606485375068</v>
      </c>
      <c r="D2">
        <v>8.0966821080358713</v>
      </c>
      <c r="E2">
        <v>1.6</v>
      </c>
      <c r="F2">
        <v>1.4182726847958262</v>
      </c>
      <c r="G2">
        <v>-11.357957200260865</v>
      </c>
      <c r="H2">
        <v>5.8000000000000007</v>
      </c>
      <c r="I2">
        <v>5.958333333333333</v>
      </c>
      <c r="J2">
        <v>2.7298850574712468</v>
      </c>
      <c r="K2">
        <v>50.8</v>
      </c>
      <c r="L2">
        <v>52.265841467288553</v>
      </c>
      <c r="M2">
        <v>2.8855146993869205</v>
      </c>
      <c r="N2">
        <v>31.2</v>
      </c>
      <c r="O2">
        <v>39.208333333333329</v>
      </c>
      <c r="P2">
        <v>25.667735042735028</v>
      </c>
      <c r="Q2">
        <v>66.400000000000006</v>
      </c>
      <c r="R2">
        <v>73.952212533610734</v>
      </c>
      <c r="S2">
        <v>11.373814056642662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2">
      <c r="A3" t="s">
        <v>238</v>
      </c>
      <c r="B3">
        <v>4</v>
      </c>
      <c r="C3">
        <v>4.3074135968153762</v>
      </c>
      <c r="D3">
        <v>7.6853399203844042</v>
      </c>
      <c r="E3">
        <v>1.7</v>
      </c>
      <c r="F3">
        <v>1.4842530698512899</v>
      </c>
      <c r="G3">
        <v>-12.690995891100593</v>
      </c>
      <c r="H3">
        <v>5.7</v>
      </c>
      <c r="I3">
        <v>5.7916666666666661</v>
      </c>
      <c r="J3">
        <v>1.6081871345029104</v>
      </c>
      <c r="K3">
        <v>44.1</v>
      </c>
      <c r="L3">
        <v>43.901170157673178</v>
      </c>
      <c r="M3">
        <v>-0.45086132046898708</v>
      </c>
      <c r="N3">
        <v>28.8</v>
      </c>
      <c r="O3">
        <v>31.791666666666664</v>
      </c>
      <c r="P3">
        <v>10.38773148148147</v>
      </c>
      <c r="Q3">
        <v>64.5</v>
      </c>
      <c r="R3">
        <v>73.11952528294502</v>
      </c>
      <c r="S3">
        <v>13.363605089837241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2">
      <c r="A4" t="s">
        <v>239</v>
      </c>
      <c r="B4">
        <v>4.5999999999999996</v>
      </c>
      <c r="C4">
        <v>4.7997875180405449</v>
      </c>
      <c r="D4">
        <v>4.3432069139248979</v>
      </c>
      <c r="E4">
        <v>1.8</v>
      </c>
      <c r="F4">
        <v>1.6585458152927881</v>
      </c>
      <c r="G4">
        <v>-7.8585658170673298</v>
      </c>
      <c r="H4">
        <v>6.3999999999999995</v>
      </c>
      <c r="I4">
        <v>6.458333333333333</v>
      </c>
      <c r="J4">
        <v>0.91145833333333703</v>
      </c>
      <c r="K4">
        <v>48.3</v>
      </c>
      <c r="L4">
        <v>48.044813668654243</v>
      </c>
      <c r="M4">
        <v>-0.52833608974276303</v>
      </c>
      <c r="N4">
        <v>34.299999999999997</v>
      </c>
      <c r="O4">
        <v>36.041666666666664</v>
      </c>
      <c r="P4">
        <v>5.0777453838678346</v>
      </c>
      <c r="Q4">
        <v>62.6</v>
      </c>
      <c r="R4">
        <v>70.573966497489749</v>
      </c>
      <c r="S4">
        <v>12.73796565094209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2">
      <c r="A5" t="s">
        <v>240</v>
      </c>
      <c r="B5">
        <v>4.2</v>
      </c>
      <c r="C5">
        <v>4.5832588390668274</v>
      </c>
      <c r="D5">
        <v>9.1252104539720769</v>
      </c>
      <c r="E5">
        <v>1.3</v>
      </c>
      <c r="F5">
        <v>1.0417411609331726</v>
      </c>
      <c r="G5">
        <v>-19.866064543602111</v>
      </c>
      <c r="H5">
        <v>5.5</v>
      </c>
      <c r="I5">
        <v>5.625</v>
      </c>
      <c r="J5">
        <v>2.2727272727272729</v>
      </c>
      <c r="K5">
        <v>48.4</v>
      </c>
      <c r="L5">
        <v>48.007290520552758</v>
      </c>
      <c r="M5">
        <v>-0.81138322199843183</v>
      </c>
      <c r="N5">
        <v>22.8</v>
      </c>
      <c r="O5">
        <v>23.625</v>
      </c>
      <c r="P5">
        <v>3.6184210526315757</v>
      </c>
      <c r="Q5">
        <v>69.599999999999994</v>
      </c>
      <c r="R5">
        <v>78.727120578352995</v>
      </c>
      <c r="S5">
        <v>13.113678991886497</v>
      </c>
      <c r="T5">
        <v>34.9</v>
      </c>
      <c r="U5">
        <v>33.355647750943206</v>
      </c>
      <c r="V5">
        <v>-1.5443522490567929</v>
      </c>
      <c r="W5">
        <v>68.099999999999994</v>
      </c>
      <c r="X5">
        <v>65.790626175241471</v>
      </c>
      <c r="Y5">
        <v>-2.3093738247585236</v>
      </c>
    </row>
    <row r="6" spans="1:25" x14ac:dyDescent="0.2">
      <c r="A6" t="s">
        <v>241</v>
      </c>
      <c r="B6">
        <v>4.3</v>
      </c>
      <c r="C6">
        <v>4.6529454558085099</v>
      </c>
      <c r="D6">
        <v>8.2080338560118626</v>
      </c>
      <c r="E6">
        <v>2.4</v>
      </c>
      <c r="F6">
        <v>2.1387212108581561</v>
      </c>
      <c r="G6">
        <v>-10.886616214243491</v>
      </c>
      <c r="H6">
        <v>6.6999999999999993</v>
      </c>
      <c r="I6">
        <v>6.7916666666666661</v>
      </c>
      <c r="J6">
        <v>1.3681592039801014</v>
      </c>
      <c r="K6">
        <v>32.200000000000003</v>
      </c>
      <c r="L6">
        <v>32.441807399808035</v>
      </c>
      <c r="M6">
        <v>0.75095465778891812</v>
      </c>
      <c r="N6">
        <v>20.100000000000001</v>
      </c>
      <c r="O6">
        <v>24.791666666666664</v>
      </c>
      <c r="P6">
        <v>23.341625207296829</v>
      </c>
      <c r="Q6">
        <v>58.2</v>
      </c>
      <c r="R6">
        <v>67.033201901122311</v>
      </c>
      <c r="S6">
        <v>15.177322854162039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2">
      <c r="A7" t="s">
        <v>242</v>
      </c>
      <c r="B7">
        <v>4.2</v>
      </c>
      <c r="C7">
        <v>4.5869049939179263</v>
      </c>
      <c r="D7">
        <v>9.2120236647125271</v>
      </c>
      <c r="E7">
        <v>1.8</v>
      </c>
      <c r="F7">
        <v>1.3714283394154068</v>
      </c>
      <c r="G7">
        <v>-23.809536699144072</v>
      </c>
      <c r="H7">
        <v>6</v>
      </c>
      <c r="I7">
        <v>5.958333333333333</v>
      </c>
      <c r="J7">
        <v>-0.6944444444444493</v>
      </c>
      <c r="K7">
        <v>39.299999999999997</v>
      </c>
      <c r="L7">
        <v>39.006885217781118</v>
      </c>
      <c r="M7">
        <v>-0.74583914050605371</v>
      </c>
      <c r="N7">
        <v>20.8</v>
      </c>
      <c r="O7">
        <v>22.375</v>
      </c>
      <c r="P7">
        <v>7.5721153846153815</v>
      </c>
      <c r="Q7">
        <v>63.8</v>
      </c>
      <c r="R7">
        <v>72.74369373357456</v>
      </c>
      <c r="S7">
        <v>14.018328736010286</v>
      </c>
      <c r="T7">
        <v>1</v>
      </c>
      <c r="U7">
        <v>0</v>
      </c>
      <c r="V7">
        <v>-1</v>
      </c>
      <c r="W7">
        <v>35.5</v>
      </c>
      <c r="X7">
        <v>34.903559806507928</v>
      </c>
      <c r="Y7">
        <v>-0.59644019349207156</v>
      </c>
    </row>
    <row r="8" spans="1:25" x14ac:dyDescent="0.2">
      <c r="A8" t="s">
        <v>243</v>
      </c>
      <c r="B8">
        <v>4.4000000000000004</v>
      </c>
      <c r="C8">
        <v>4.7207972500089621</v>
      </c>
      <c r="D8">
        <v>7.2908465911127669</v>
      </c>
      <c r="E8">
        <v>1.3</v>
      </c>
      <c r="F8">
        <v>1.070869416657704</v>
      </c>
      <c r="G8">
        <v>-17.625429487868928</v>
      </c>
      <c r="H8">
        <v>5.7</v>
      </c>
      <c r="I8">
        <v>5.7916666666666661</v>
      </c>
      <c r="J8">
        <v>1.6081871345029104</v>
      </c>
      <c r="K8">
        <v>49.3</v>
      </c>
      <c r="L8">
        <v>49.416533532618971</v>
      </c>
      <c r="M8">
        <v>0.23637633391272489</v>
      </c>
      <c r="N8">
        <v>26.9</v>
      </c>
      <c r="O8">
        <v>30.958333333333332</v>
      </c>
      <c r="P8">
        <v>15.086741016109048</v>
      </c>
      <c r="Q8">
        <v>69.099999999999994</v>
      </c>
      <c r="R8">
        <v>77.392304050356202</v>
      </c>
      <c r="S8">
        <v>12.000440014987277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2">
      <c r="A9" t="s">
        <v>244</v>
      </c>
      <c r="B9">
        <v>4.7</v>
      </c>
      <c r="C9">
        <v>5.0496492455232467</v>
      </c>
      <c r="D9">
        <v>7.4393456494307761</v>
      </c>
      <c r="E9">
        <v>2.2000000000000002</v>
      </c>
      <c r="F9">
        <v>1.8253507544767533</v>
      </c>
      <c r="G9">
        <v>-17.029511160147585</v>
      </c>
      <c r="H9">
        <v>6.9</v>
      </c>
      <c r="I9">
        <v>6.875</v>
      </c>
      <c r="J9">
        <v>-0.36231884057971525</v>
      </c>
      <c r="K9">
        <v>38</v>
      </c>
      <c r="L9">
        <v>39.128082204196581</v>
      </c>
      <c r="M9">
        <v>2.9686373794646856</v>
      </c>
      <c r="N9">
        <v>25.4</v>
      </c>
      <c r="O9">
        <v>33.125</v>
      </c>
      <c r="P9">
        <v>30.413385826771659</v>
      </c>
      <c r="Q9">
        <v>62.5</v>
      </c>
      <c r="R9">
        <v>68.053505445335148</v>
      </c>
      <c r="S9">
        <v>8.8856087125362357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2">
      <c r="A10" t="s">
        <v>245</v>
      </c>
      <c r="B10">
        <v>4.8</v>
      </c>
      <c r="C10">
        <v>5.0309607612160665</v>
      </c>
      <c r="D10">
        <v>4.8116825253347226</v>
      </c>
      <c r="E10">
        <v>1.7</v>
      </c>
      <c r="F10">
        <v>1.5107059054505996</v>
      </c>
      <c r="G10">
        <v>-11.134946738200023</v>
      </c>
      <c r="H10">
        <v>6.5</v>
      </c>
      <c r="I10">
        <v>6.5416666666666661</v>
      </c>
      <c r="J10">
        <v>0.64102564102563186</v>
      </c>
      <c r="K10">
        <v>47.4</v>
      </c>
      <c r="L10">
        <v>48.041119832813564</v>
      </c>
      <c r="M10">
        <v>1.3525734869484503</v>
      </c>
      <c r="N10">
        <v>30.1</v>
      </c>
      <c r="O10">
        <v>36.541666666666664</v>
      </c>
      <c r="P10">
        <v>21.400885935769644</v>
      </c>
      <c r="Q10">
        <v>64.7</v>
      </c>
      <c r="R10">
        <v>71.643290519349165</v>
      </c>
      <c r="S10">
        <v>10.73151548585651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2">
      <c r="A11" t="s">
        <v>246</v>
      </c>
      <c r="B11">
        <v>4.5</v>
      </c>
      <c r="C11">
        <v>4.7975187422520396</v>
      </c>
      <c r="D11">
        <v>6.6115276056008794</v>
      </c>
      <c r="E11">
        <v>2.1</v>
      </c>
      <c r="F11">
        <v>1.9108145910812935</v>
      </c>
      <c r="G11">
        <v>-9.0088289961288854</v>
      </c>
      <c r="H11">
        <v>6.6</v>
      </c>
      <c r="I11">
        <v>6.708333333333333</v>
      </c>
      <c r="J11">
        <v>1.6414141414141423</v>
      </c>
      <c r="K11">
        <v>38.299999999999997</v>
      </c>
      <c r="L11">
        <v>38.77206141034867</v>
      </c>
      <c r="M11">
        <v>1.2325363194482308</v>
      </c>
      <c r="N11">
        <v>24.4</v>
      </c>
      <c r="O11">
        <v>29.958333333333332</v>
      </c>
      <c r="P11">
        <v>22.780054644808743</v>
      </c>
      <c r="Q11">
        <v>61.2</v>
      </c>
      <c r="R11">
        <v>68.26458457890638</v>
      </c>
      <c r="S11">
        <v>11.543438854422185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2">
      <c r="A12" t="s">
        <v>247</v>
      </c>
      <c r="B12">
        <v>5</v>
      </c>
      <c r="C12">
        <v>5.3788465568800188</v>
      </c>
      <c r="D12">
        <v>7.5769311376003765</v>
      </c>
      <c r="E12">
        <v>2.2000000000000002</v>
      </c>
      <c r="F12">
        <v>1.9128201097866473</v>
      </c>
      <c r="G12">
        <v>-13.053631373334222</v>
      </c>
      <c r="H12">
        <v>7.2</v>
      </c>
      <c r="I12">
        <v>7.2916666666666661</v>
      </c>
      <c r="J12">
        <v>1.2731481481481375</v>
      </c>
      <c r="K12">
        <v>38.5</v>
      </c>
      <c r="L12">
        <v>38.474689672630326</v>
      </c>
      <c r="M12">
        <v>-6.5741110051100657E-2</v>
      </c>
      <c r="N12">
        <v>28.2</v>
      </c>
      <c r="O12">
        <v>31.791666666666664</v>
      </c>
      <c r="P12">
        <v>12.736406619385338</v>
      </c>
      <c r="Q12">
        <v>60.9</v>
      </c>
      <c r="R12">
        <v>66.057467095376495</v>
      </c>
      <c r="S12">
        <v>8.4687472830484349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2">
      <c r="A13" t="s">
        <v>248</v>
      </c>
      <c r="B13">
        <v>6.8</v>
      </c>
      <c r="C13">
        <v>6.8861617407862425</v>
      </c>
      <c r="D13">
        <v>1.267084423327099</v>
      </c>
      <c r="E13">
        <v>2.2999999999999998</v>
      </c>
      <c r="F13">
        <v>2.3221715925470896</v>
      </c>
      <c r="G13">
        <v>0.96398228465607738</v>
      </c>
      <c r="H13">
        <v>9.1</v>
      </c>
      <c r="I13">
        <v>9.2083333333333321</v>
      </c>
      <c r="J13">
        <v>1.1904761904761814</v>
      </c>
      <c r="K13">
        <v>57.9</v>
      </c>
      <c r="L13">
        <v>57.91425389495403</v>
      </c>
      <c r="M13">
        <v>2.4618126000053461E-2</v>
      </c>
      <c r="N13">
        <v>36.799999999999997</v>
      </c>
      <c r="O13">
        <v>39.875</v>
      </c>
      <c r="P13">
        <v>8.3559782608695734</v>
      </c>
      <c r="Q13">
        <v>46.4</v>
      </c>
      <c r="R13">
        <v>61.88458320809081</v>
      </c>
      <c r="S13">
        <v>33.371946569161231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2">
      <c r="A14" t="s">
        <v>249</v>
      </c>
      <c r="B14">
        <v>4.8</v>
      </c>
      <c r="C14">
        <v>5.2204026840343065</v>
      </c>
      <c r="D14">
        <v>8.758389250714723</v>
      </c>
      <c r="E14">
        <v>1.4</v>
      </c>
      <c r="F14">
        <v>1.1545973159656935</v>
      </c>
      <c r="G14">
        <v>-17.5287631453076</v>
      </c>
      <c r="H14">
        <v>6.1999999999999993</v>
      </c>
      <c r="I14">
        <v>6.375</v>
      </c>
      <c r="J14">
        <v>2.822580645161302</v>
      </c>
      <c r="K14">
        <v>58.6</v>
      </c>
      <c r="L14">
        <v>58.693507053879273</v>
      </c>
      <c r="M14">
        <v>0.15956835132981484</v>
      </c>
      <c r="N14">
        <v>38.6</v>
      </c>
      <c r="O14">
        <v>41.208333333333329</v>
      </c>
      <c r="P14">
        <v>6.7573402417961841</v>
      </c>
      <c r="Q14">
        <v>69.3</v>
      </c>
      <c r="R14">
        <v>75.63273500897526</v>
      </c>
      <c r="S14">
        <v>9.1381457560970603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2">
      <c r="A15" t="s">
        <v>250</v>
      </c>
      <c r="B15">
        <v>4.2</v>
      </c>
      <c r="C15">
        <v>4.5824332056845165</v>
      </c>
      <c r="D15">
        <v>9.1055525162980064</v>
      </c>
      <c r="E15">
        <v>1.4</v>
      </c>
      <c r="F15">
        <v>1.1259001276488165</v>
      </c>
      <c r="G15">
        <v>-19.578562310798812</v>
      </c>
      <c r="H15">
        <v>5.6</v>
      </c>
      <c r="I15">
        <v>5.708333333333333</v>
      </c>
      <c r="J15">
        <v>1.9345238095238106</v>
      </c>
      <c r="K15">
        <v>45.4</v>
      </c>
      <c r="L15">
        <v>44.854438992382811</v>
      </c>
      <c r="M15">
        <v>-1.2016762282316915</v>
      </c>
      <c r="N15">
        <v>23.8</v>
      </c>
      <c r="O15">
        <v>24.291666666666664</v>
      </c>
      <c r="P15">
        <v>2.0658263305322002</v>
      </c>
      <c r="Q15">
        <v>67.400000000000006</v>
      </c>
      <c r="R15">
        <v>76.002965101718928</v>
      </c>
      <c r="S15">
        <v>12.764043177624512</v>
      </c>
      <c r="T15">
        <v>24.3</v>
      </c>
      <c r="U15">
        <v>22.041267785803669</v>
      </c>
      <c r="V15">
        <v>-2.258732214196332</v>
      </c>
      <c r="W15">
        <v>62.4</v>
      </c>
      <c r="X15">
        <v>59.504706274442533</v>
      </c>
      <c r="Y15">
        <v>-2.8952937255574653</v>
      </c>
    </row>
    <row r="16" spans="1:25" x14ac:dyDescent="0.2">
      <c r="A16" t="s">
        <v>251</v>
      </c>
      <c r="B16">
        <v>7</v>
      </c>
      <c r="C16">
        <v>7.2389934012150725</v>
      </c>
      <c r="D16">
        <v>3.4141914459296077</v>
      </c>
      <c r="E16">
        <v>1.8</v>
      </c>
      <c r="F16">
        <v>1.5526732654515936</v>
      </c>
      <c r="G16">
        <v>-13.740374141578137</v>
      </c>
      <c r="H16">
        <v>8.8000000000000007</v>
      </c>
      <c r="I16">
        <v>8.7916666666666661</v>
      </c>
      <c r="J16">
        <v>-9.469696969698449E-2</v>
      </c>
      <c r="K16">
        <v>69.3</v>
      </c>
      <c r="L16">
        <v>68.841975420701203</v>
      </c>
      <c r="M16">
        <v>-0.66093012885828839</v>
      </c>
      <c r="N16">
        <v>41.9</v>
      </c>
      <c r="O16">
        <v>42.708333333333329</v>
      </c>
      <c r="P16">
        <v>1.9291964996022197</v>
      </c>
      <c r="Q16">
        <v>60.9</v>
      </c>
      <c r="R16">
        <v>68.636704448324949</v>
      </c>
      <c r="S16">
        <v>12.70394819100977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2">
      <c r="A17" t="s">
        <v>252</v>
      </c>
      <c r="B17">
        <v>4.7</v>
      </c>
      <c r="C17">
        <v>4.9450172675334496</v>
      </c>
      <c r="D17">
        <v>5.2131333517755198</v>
      </c>
      <c r="E17">
        <v>1.7</v>
      </c>
      <c r="F17">
        <v>1.5133160657998834</v>
      </c>
      <c r="G17">
        <v>-10.981407894124501</v>
      </c>
      <c r="H17">
        <v>6.4</v>
      </c>
      <c r="I17">
        <v>6.458333333333333</v>
      </c>
      <c r="J17">
        <v>0.91145833333332316</v>
      </c>
      <c r="K17">
        <v>45.8</v>
      </c>
      <c r="L17">
        <v>45.624153326281089</v>
      </c>
      <c r="M17">
        <v>-0.38394470244303097</v>
      </c>
      <c r="N17">
        <v>26.2</v>
      </c>
      <c r="O17">
        <v>30.125</v>
      </c>
      <c r="P17">
        <v>14.980916030534356</v>
      </c>
      <c r="Q17">
        <v>64.3</v>
      </c>
      <c r="R17">
        <v>71.952794616177712</v>
      </c>
      <c r="S17">
        <v>11.901702357974674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2">
      <c r="A18" t="s">
        <v>253</v>
      </c>
      <c r="B18">
        <v>4.8</v>
      </c>
      <c r="C18">
        <v>5.1554195992149534</v>
      </c>
      <c r="D18">
        <v>7.4045749836448671</v>
      </c>
      <c r="E18">
        <v>1.6</v>
      </c>
      <c r="F18">
        <v>1.2195804007850466</v>
      </c>
      <c r="G18">
        <v>-23.776224950934594</v>
      </c>
      <c r="H18">
        <v>6.4</v>
      </c>
      <c r="I18">
        <v>6.375</v>
      </c>
      <c r="J18">
        <v>-0.39062500000000555</v>
      </c>
      <c r="K18">
        <v>50.5</v>
      </c>
      <c r="L18">
        <v>50.050164961666098</v>
      </c>
      <c r="M18">
        <v>-0.89076245214633976</v>
      </c>
      <c r="N18">
        <v>33.4</v>
      </c>
      <c r="O18">
        <v>33.541666666666664</v>
      </c>
      <c r="P18">
        <v>0.42415169660678359</v>
      </c>
      <c r="Q18">
        <v>66.8</v>
      </c>
      <c r="R18">
        <v>74.043577102002772</v>
      </c>
      <c r="S18">
        <v>10.843678296411339</v>
      </c>
      <c r="T18">
        <v>6.2</v>
      </c>
      <c r="U18">
        <v>4.3654991805699837</v>
      </c>
      <c r="V18">
        <v>-1.8345008194300165</v>
      </c>
      <c r="W18">
        <v>38.799999999999997</v>
      </c>
      <c r="X18">
        <v>33.010406346619746</v>
      </c>
      <c r="Y18">
        <v>-5.7895936533802512</v>
      </c>
    </row>
    <row r="19" spans="1:25" x14ac:dyDescent="0.2">
      <c r="A19" t="s">
        <v>254</v>
      </c>
      <c r="B19">
        <v>4.5</v>
      </c>
      <c r="C19">
        <v>4.8331981020380361</v>
      </c>
      <c r="D19">
        <v>7.4044022675119141</v>
      </c>
      <c r="E19">
        <v>1.8</v>
      </c>
      <c r="F19">
        <v>1.3751352312952969</v>
      </c>
      <c r="G19">
        <v>-23.603598261372397</v>
      </c>
      <c r="H19">
        <v>6.3</v>
      </c>
      <c r="I19">
        <v>6.208333333333333</v>
      </c>
      <c r="J19">
        <v>-1.4550264550264571</v>
      </c>
      <c r="K19">
        <v>42.9</v>
      </c>
      <c r="L19">
        <v>42.928587153166049</v>
      </c>
      <c r="M19">
        <v>6.6636720666784222E-2</v>
      </c>
      <c r="N19">
        <v>27.9</v>
      </c>
      <c r="O19">
        <v>30.541666666666664</v>
      </c>
      <c r="P19">
        <v>9.4683393070489821</v>
      </c>
      <c r="Q19">
        <v>65</v>
      </c>
      <c r="R19">
        <v>72.347333359610275</v>
      </c>
      <c r="S19">
        <v>11.303589784015807</v>
      </c>
      <c r="T19">
        <v>0</v>
      </c>
      <c r="U19">
        <v>0</v>
      </c>
      <c r="V19">
        <v>0</v>
      </c>
      <c r="W19">
        <v>7.8</v>
      </c>
      <c r="X19">
        <v>6.0719481475374693</v>
      </c>
      <c r="Y19">
        <v>-1.7280518524625306</v>
      </c>
    </row>
    <row r="20" spans="1:25" x14ac:dyDescent="0.2">
      <c r="A20" t="s">
        <v>255</v>
      </c>
      <c r="B20">
        <v>4.4000000000000004</v>
      </c>
      <c r="C20">
        <v>4.782778427538946</v>
      </c>
      <c r="D20">
        <v>8.6995097167942177</v>
      </c>
      <c r="E20">
        <v>2.1</v>
      </c>
      <c r="F20">
        <v>1.7588882391277201</v>
      </c>
      <c r="G20">
        <v>-16.243417184394286</v>
      </c>
      <c r="H20">
        <v>6.5</v>
      </c>
      <c r="I20">
        <v>6.5416666666666661</v>
      </c>
      <c r="J20">
        <v>0.64102564102563186</v>
      </c>
      <c r="K20">
        <v>39.700000000000003</v>
      </c>
      <c r="L20">
        <v>38.922750290301948</v>
      </c>
      <c r="M20">
        <v>-1.9578078329925801</v>
      </c>
      <c r="N20">
        <v>24.8</v>
      </c>
      <c r="O20">
        <v>26.541666666666664</v>
      </c>
      <c r="P20">
        <v>7.0228494623655786</v>
      </c>
      <c r="Q20">
        <v>61.2</v>
      </c>
      <c r="R20">
        <v>68.659122604284448</v>
      </c>
      <c r="S20">
        <v>12.188108830530139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2">
      <c r="A21" t="s">
        <v>256</v>
      </c>
      <c r="B21">
        <v>4.2</v>
      </c>
      <c r="C21">
        <v>4.4768014886360206</v>
      </c>
      <c r="D21">
        <v>6.5905116341909613</v>
      </c>
      <c r="E21">
        <v>1.5</v>
      </c>
      <c r="F21">
        <v>1.3148651780306455</v>
      </c>
      <c r="G21">
        <v>-12.342321464623634</v>
      </c>
      <c r="H21">
        <v>5.7</v>
      </c>
      <c r="I21">
        <v>5.7916666666666661</v>
      </c>
      <c r="J21">
        <v>1.6081871345029104</v>
      </c>
      <c r="K21">
        <v>42.9</v>
      </c>
      <c r="L21">
        <v>43.26622266122709</v>
      </c>
      <c r="M21">
        <v>0.85366587698622698</v>
      </c>
      <c r="N21">
        <v>24.2</v>
      </c>
      <c r="O21">
        <v>29.041666666666664</v>
      </c>
      <c r="P21">
        <v>20.00688705234159</v>
      </c>
      <c r="Q21">
        <v>65.8</v>
      </c>
      <c r="R21">
        <v>74.660758245317467</v>
      </c>
      <c r="S21">
        <v>13.466197941211961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2">
      <c r="A22" t="s">
        <v>257</v>
      </c>
      <c r="B22">
        <v>5.2</v>
      </c>
      <c r="C22">
        <v>5.4563520211528491</v>
      </c>
      <c r="D22">
        <v>4.9298465606317103</v>
      </c>
      <c r="E22">
        <v>1.8</v>
      </c>
      <c r="F22">
        <v>1.585314645513817</v>
      </c>
      <c r="G22">
        <v>-11.926964138121281</v>
      </c>
      <c r="H22">
        <v>7</v>
      </c>
      <c r="I22">
        <v>7.0416666666666661</v>
      </c>
      <c r="J22">
        <v>0.5952380952380868</v>
      </c>
      <c r="K22">
        <v>45.5</v>
      </c>
      <c r="L22">
        <v>46.359478126909963</v>
      </c>
      <c r="M22">
        <v>1.8889629162856323</v>
      </c>
      <c r="N22">
        <v>30.8</v>
      </c>
      <c r="O22">
        <v>36.875</v>
      </c>
      <c r="P22">
        <v>19.72402597402597</v>
      </c>
      <c r="Q22">
        <v>64.099999999999994</v>
      </c>
      <c r="R22">
        <v>69.720449880795286</v>
      </c>
      <c r="S22">
        <v>8.7682525441424222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2">
      <c r="A23" t="s">
        <v>258</v>
      </c>
      <c r="B23">
        <v>4.5</v>
      </c>
      <c r="C23">
        <v>4.7965175748072086</v>
      </c>
      <c r="D23">
        <v>6.5892794401601922</v>
      </c>
      <c r="E23">
        <v>1.5</v>
      </c>
      <c r="F23">
        <v>1.2451490918594574</v>
      </c>
      <c r="G23">
        <v>-16.990060542702835</v>
      </c>
      <c r="H23">
        <v>6</v>
      </c>
      <c r="I23">
        <v>6.0416666666666661</v>
      </c>
      <c r="J23">
        <v>0.69444444444443465</v>
      </c>
      <c r="K23">
        <v>44.7</v>
      </c>
      <c r="L23">
        <v>43.850030063994751</v>
      </c>
      <c r="M23">
        <v>-1.9014987382667821</v>
      </c>
      <c r="N23">
        <v>22.8</v>
      </c>
      <c r="O23">
        <v>22.041666666666664</v>
      </c>
      <c r="P23">
        <v>-3.3260233918128788</v>
      </c>
      <c r="Q23">
        <v>59.2</v>
      </c>
      <c r="R23">
        <v>75.106640533538922</v>
      </c>
      <c r="S23">
        <v>26.869325225572499</v>
      </c>
      <c r="T23">
        <v>10.7</v>
      </c>
      <c r="U23">
        <v>6.4818339650119583</v>
      </c>
      <c r="V23">
        <v>-4.218166034988041</v>
      </c>
      <c r="W23">
        <v>52.9</v>
      </c>
      <c r="X23">
        <v>48.115290699500633</v>
      </c>
      <c r="Y23">
        <v>-4.7847093004993653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19"/>
  <sheetViews>
    <sheetView workbookViewId="0">
      <selection activeCell="A2" sqref="A2:Y19"/>
    </sheetView>
  </sheetViews>
  <sheetFormatPr baseColWidth="10" defaultColWidth="8.83203125" defaultRowHeight="15" x14ac:dyDescent="0.2"/>
  <cols>
    <col min="1" max="1" width="9.6640625" customWidth="1"/>
    <col min="2" max="2" width="16.33203125" customWidth="1"/>
    <col min="3" max="3" width="22.33203125" customWidth="1"/>
    <col min="4" max="4" width="20" customWidth="1"/>
    <col min="5" max="5" width="16.33203125" customWidth="1"/>
    <col min="6" max="6" width="22.33203125" customWidth="1"/>
    <col min="7" max="7" width="20" customWidth="1"/>
    <col min="8" max="8" width="18.5" customWidth="1"/>
    <col min="9" max="9" width="24.5" customWidth="1"/>
    <col min="10" max="10" width="22.1640625" customWidth="1"/>
    <col min="11" max="11" width="13.5" customWidth="1"/>
    <col min="12" max="12" width="19.5" customWidth="1"/>
    <col min="13" max="13" width="21.83203125" customWidth="1"/>
    <col min="14" max="14" width="14.5" customWidth="1"/>
    <col min="15" max="15" width="20.5" customWidth="1"/>
    <col min="16" max="16" width="22.83203125" customWidth="1"/>
    <col min="17" max="17" width="15.5" customWidth="1"/>
    <col min="18" max="18" width="21.5" customWidth="1"/>
    <col min="19" max="19" width="24" customWidth="1"/>
    <col min="20" max="20" width="12.5" customWidth="1"/>
    <col min="21" max="21" width="18.5" customWidth="1"/>
    <col min="22" max="22" width="22.6640625" customWidth="1"/>
    <col min="23" max="23" width="12.5" customWidth="1"/>
    <col min="24" max="24" width="18.5" customWidth="1"/>
    <col min="25" max="25" width="22.6640625" customWidth="1"/>
  </cols>
  <sheetData>
    <row r="1" spans="1:25" x14ac:dyDescent="0.2">
      <c r="A1" t="s">
        <v>283</v>
      </c>
      <c r="B1" t="s">
        <v>302</v>
      </c>
      <c r="C1" t="s">
        <v>303</v>
      </c>
      <c r="D1" t="s">
        <v>304</v>
      </c>
      <c r="E1" t="s">
        <v>305</v>
      </c>
      <c r="F1" t="s">
        <v>306</v>
      </c>
      <c r="G1" t="s">
        <v>307</v>
      </c>
      <c r="H1" t="s">
        <v>308</v>
      </c>
      <c r="I1" t="s">
        <v>309</v>
      </c>
      <c r="J1" t="s">
        <v>310</v>
      </c>
      <c r="K1" t="s">
        <v>311</v>
      </c>
      <c r="L1" t="s">
        <v>312</v>
      </c>
      <c r="M1" t="s">
        <v>313</v>
      </c>
      <c r="N1" t="s">
        <v>314</v>
      </c>
      <c r="O1" t="s">
        <v>315</v>
      </c>
      <c r="P1" t="s">
        <v>316</v>
      </c>
      <c r="Q1" t="s">
        <v>317</v>
      </c>
      <c r="R1" t="s">
        <v>318</v>
      </c>
      <c r="S1" t="s">
        <v>319</v>
      </c>
      <c r="T1" t="s">
        <v>320</v>
      </c>
      <c r="U1" t="s">
        <v>321</v>
      </c>
      <c r="V1" t="s">
        <v>322</v>
      </c>
      <c r="W1" t="s">
        <v>323</v>
      </c>
      <c r="X1" t="s">
        <v>324</v>
      </c>
      <c r="Y1" t="s">
        <v>325</v>
      </c>
    </row>
    <row r="2" spans="1:25" x14ac:dyDescent="0.2">
      <c r="A2" t="s">
        <v>284</v>
      </c>
      <c r="B2">
        <v>4.7</v>
      </c>
      <c r="C2">
        <v>4.9393602387754942</v>
      </c>
      <c r="D2">
        <v>5.092771037776469</v>
      </c>
      <c r="E2">
        <v>2.4</v>
      </c>
      <c r="F2">
        <v>2.3523064278911718</v>
      </c>
      <c r="G2">
        <v>-1.9872321712011698</v>
      </c>
      <c r="H2">
        <v>7.1</v>
      </c>
      <c r="I2">
        <v>7.2916666666666661</v>
      </c>
      <c r="J2">
        <v>2.6995305164319214</v>
      </c>
      <c r="K2">
        <v>49.8</v>
      </c>
      <c r="L2">
        <v>50.05337655654138</v>
      </c>
      <c r="M2">
        <v>0.50878826614735551</v>
      </c>
      <c r="N2">
        <v>34.200000000000003</v>
      </c>
      <c r="O2">
        <v>37.291666666666664</v>
      </c>
      <c r="P2">
        <v>9.0399610136452075</v>
      </c>
      <c r="Q2">
        <v>52.1</v>
      </c>
      <c r="R2">
        <v>63.741549269601869</v>
      </c>
      <c r="S2">
        <v>22.344624317853874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2">
      <c r="A3" t="s">
        <v>285</v>
      </c>
      <c r="B3">
        <v>4.4000000000000004</v>
      </c>
      <c r="C3">
        <v>4.7389765914123547</v>
      </c>
      <c r="D3">
        <v>7.704013441189872</v>
      </c>
      <c r="E3">
        <v>2.1</v>
      </c>
      <c r="F3">
        <v>1.8026900752543114</v>
      </c>
      <c r="G3">
        <v>-14.157615464080415</v>
      </c>
      <c r="H3">
        <v>6.5</v>
      </c>
      <c r="I3">
        <v>6.5416666666666661</v>
      </c>
      <c r="J3">
        <v>0.64102564102563186</v>
      </c>
      <c r="K3">
        <v>43.9</v>
      </c>
      <c r="L3">
        <v>43.300269450485771</v>
      </c>
      <c r="M3">
        <v>-1.3661288143832053</v>
      </c>
      <c r="N3">
        <v>29.9</v>
      </c>
      <c r="O3">
        <v>30.208333333333332</v>
      </c>
      <c r="P3">
        <v>1.031215161649945</v>
      </c>
      <c r="Q3">
        <v>61.4</v>
      </c>
      <c r="R3">
        <v>69.002776174087018</v>
      </c>
      <c r="S3">
        <v>12.382371619034233</v>
      </c>
      <c r="T3">
        <v>3.7</v>
      </c>
      <c r="U3">
        <v>1.5540856587469563</v>
      </c>
      <c r="V3">
        <v>-2.1459143412530439</v>
      </c>
      <c r="W3">
        <v>34.299999999999997</v>
      </c>
      <c r="X3">
        <v>31.550844075088435</v>
      </c>
      <c r="Y3">
        <v>-2.7491559249115625</v>
      </c>
    </row>
    <row r="4" spans="1:25" x14ac:dyDescent="0.2">
      <c r="A4" t="s">
        <v>286</v>
      </c>
      <c r="B4">
        <v>4.7</v>
      </c>
      <c r="C4">
        <v>4.944542377377326</v>
      </c>
      <c r="D4">
        <v>5.2030293059005501</v>
      </c>
      <c r="E4">
        <v>2.4</v>
      </c>
      <c r="F4">
        <v>2.180457622622674</v>
      </c>
      <c r="G4">
        <v>-9.1475990573885824</v>
      </c>
      <c r="H4">
        <v>7.1</v>
      </c>
      <c r="I4">
        <v>7.125</v>
      </c>
      <c r="J4">
        <v>0.35211267605634305</v>
      </c>
      <c r="K4">
        <v>40.4</v>
      </c>
      <c r="L4">
        <v>40.031373192614829</v>
      </c>
      <c r="M4">
        <v>-0.91244259253754778</v>
      </c>
      <c r="N4">
        <v>20.7</v>
      </c>
      <c r="O4">
        <v>21.958333333333332</v>
      </c>
      <c r="P4">
        <v>6.0789049919484679</v>
      </c>
      <c r="Q4">
        <v>58.4</v>
      </c>
      <c r="R4">
        <v>64.892977845209273</v>
      </c>
      <c r="S4">
        <v>11.118112748646018</v>
      </c>
      <c r="T4">
        <v>34.9</v>
      </c>
      <c r="U4">
        <v>34.769896246699417</v>
      </c>
      <c r="V4">
        <v>-0.1301037533005811</v>
      </c>
      <c r="W4">
        <v>67.900000000000006</v>
      </c>
      <c r="X4">
        <v>66.406506841651861</v>
      </c>
      <c r="Y4">
        <v>-1.4934931583481443</v>
      </c>
    </row>
    <row r="5" spans="1:25" x14ac:dyDescent="0.2">
      <c r="A5" t="s">
        <v>287</v>
      </c>
      <c r="B5">
        <v>4.0999999999999996</v>
      </c>
      <c r="C5">
        <v>4.3886627270509635</v>
      </c>
      <c r="D5">
        <v>7.0405543183161914</v>
      </c>
      <c r="E5">
        <v>1.8</v>
      </c>
      <c r="F5">
        <v>1.4863372729490365</v>
      </c>
      <c r="G5">
        <v>-17.425707058386863</v>
      </c>
      <c r="H5">
        <v>5.8999999999999995</v>
      </c>
      <c r="I5">
        <v>5.875</v>
      </c>
      <c r="J5">
        <v>-0.42372881355931302</v>
      </c>
      <c r="K5">
        <v>48.1</v>
      </c>
      <c r="L5">
        <v>48.116810340293561</v>
      </c>
      <c r="M5">
        <v>3.4948732419043636E-2</v>
      </c>
      <c r="N5">
        <v>30.8</v>
      </c>
      <c r="O5">
        <v>33.208333333333329</v>
      </c>
      <c r="P5">
        <v>7.8192640692640509</v>
      </c>
      <c r="Q5">
        <v>64.099999999999994</v>
      </c>
      <c r="R5">
        <v>72.689738529730221</v>
      </c>
      <c r="S5">
        <v>13.400528127504256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2">
      <c r="A6" t="s">
        <v>288</v>
      </c>
      <c r="B6">
        <v>4.2</v>
      </c>
      <c r="C6">
        <v>4.4705440493761497</v>
      </c>
      <c r="D6">
        <v>6.4415249851464171</v>
      </c>
      <c r="E6">
        <v>3</v>
      </c>
      <c r="F6">
        <v>2.7377892839571834</v>
      </c>
      <c r="G6">
        <v>-8.7403572014272228</v>
      </c>
      <c r="H6">
        <v>7.2</v>
      </c>
      <c r="I6">
        <v>7.208333333333333</v>
      </c>
      <c r="J6">
        <v>0.11574074074073416</v>
      </c>
      <c r="K6">
        <v>40.299999999999997</v>
      </c>
      <c r="L6">
        <v>39.54019768639278</v>
      </c>
      <c r="M6">
        <v>-1.8853655424496705</v>
      </c>
      <c r="N6">
        <v>26.8</v>
      </c>
      <c r="O6">
        <v>26.375</v>
      </c>
      <c r="P6">
        <v>-1.5858208955223905</v>
      </c>
      <c r="Q6">
        <v>51</v>
      </c>
      <c r="R6">
        <v>62.177592028143003</v>
      </c>
      <c r="S6">
        <v>21.91684711400589</v>
      </c>
      <c r="T6">
        <v>13</v>
      </c>
      <c r="U6">
        <v>9.4626496062222003</v>
      </c>
      <c r="V6">
        <v>-3.5373503937777997</v>
      </c>
      <c r="W6">
        <v>48.2</v>
      </c>
      <c r="X6">
        <v>44.244266034671163</v>
      </c>
      <c r="Y6">
        <v>-3.9557339653288395</v>
      </c>
    </row>
    <row r="7" spans="1:25" x14ac:dyDescent="0.2">
      <c r="A7" t="s">
        <v>289</v>
      </c>
      <c r="B7">
        <v>4.7</v>
      </c>
      <c r="C7">
        <v>4.9380408894265244</v>
      </c>
      <c r="D7">
        <v>5.0646997750324303</v>
      </c>
      <c r="E7">
        <v>2.6</v>
      </c>
      <c r="F7">
        <v>2.3536257772401417</v>
      </c>
      <c r="G7">
        <v>-9.4759316446099398</v>
      </c>
      <c r="H7">
        <v>7.3000000000000007</v>
      </c>
      <c r="I7">
        <v>7.2916666666666661</v>
      </c>
      <c r="J7">
        <v>-0.11415525114157035</v>
      </c>
      <c r="K7">
        <v>39.700000000000003</v>
      </c>
      <c r="L7">
        <v>39.216214916081341</v>
      </c>
      <c r="M7">
        <v>-1.2186022264953689</v>
      </c>
      <c r="N7">
        <v>21.4</v>
      </c>
      <c r="O7">
        <v>20.708333333333332</v>
      </c>
      <c r="P7">
        <v>-3.2320872274143291</v>
      </c>
      <c r="Q7">
        <v>54.2</v>
      </c>
      <c r="R7">
        <v>63.560486280028613</v>
      </c>
      <c r="S7">
        <v>17.270269889351678</v>
      </c>
      <c r="T7">
        <v>43.6</v>
      </c>
      <c r="U7">
        <v>36.59254669805869</v>
      </c>
      <c r="V7">
        <v>-7.007453301941311</v>
      </c>
      <c r="W7">
        <v>72.5</v>
      </c>
      <c r="X7">
        <v>67.412903872142806</v>
      </c>
      <c r="Y7">
        <v>-5.087096127857194</v>
      </c>
    </row>
    <row r="8" spans="1:25" x14ac:dyDescent="0.2">
      <c r="A8" t="s">
        <v>290</v>
      </c>
      <c r="B8">
        <v>4.0999999999999996</v>
      </c>
      <c r="C8">
        <v>4.3774356649534987</v>
      </c>
      <c r="D8">
        <v>6.766723535451197</v>
      </c>
      <c r="E8">
        <v>3</v>
      </c>
      <c r="F8">
        <v>2.8308976683798344</v>
      </c>
      <c r="G8">
        <v>-5.6367443873388545</v>
      </c>
      <c r="H8">
        <v>7.1</v>
      </c>
      <c r="I8">
        <v>7.208333333333333</v>
      </c>
      <c r="J8">
        <v>1.5258215962441324</v>
      </c>
      <c r="K8">
        <v>36.700000000000003</v>
      </c>
      <c r="L8">
        <v>36.229466028833045</v>
      </c>
      <c r="M8">
        <v>-1.282108913261466</v>
      </c>
      <c r="N8">
        <v>23.2</v>
      </c>
      <c r="O8">
        <v>22.708333333333332</v>
      </c>
      <c r="P8">
        <v>-2.1192528735632208</v>
      </c>
      <c r="Q8">
        <v>51.9</v>
      </c>
      <c r="R8">
        <v>61.682065629853284</v>
      </c>
      <c r="S8">
        <v>18.847910654823284</v>
      </c>
      <c r="T8">
        <v>36.9</v>
      </c>
      <c r="U8">
        <v>31.178168846002222</v>
      </c>
      <c r="V8">
        <v>-5.7218311539977762</v>
      </c>
      <c r="W8">
        <v>66.5</v>
      </c>
      <c r="X8">
        <v>62.10509152347754</v>
      </c>
      <c r="Y8">
        <v>-4.3949084765224598</v>
      </c>
    </row>
    <row r="9" spans="1:25" x14ac:dyDescent="0.2">
      <c r="A9" t="s">
        <v>291</v>
      </c>
      <c r="B9">
        <v>4.5</v>
      </c>
      <c r="C9">
        <v>4.7700253747172319</v>
      </c>
      <c r="D9">
        <v>6.0005638826051522</v>
      </c>
      <c r="E9">
        <v>2.8</v>
      </c>
      <c r="F9">
        <v>2.7716412919494342</v>
      </c>
      <c r="G9">
        <v>-1.0128110018059151</v>
      </c>
      <c r="H9">
        <v>7.3</v>
      </c>
      <c r="I9">
        <v>7.5416666666666661</v>
      </c>
      <c r="J9">
        <v>3.3105022831050173</v>
      </c>
      <c r="K9">
        <v>41.6</v>
      </c>
      <c r="L9">
        <v>42.170228779854995</v>
      </c>
      <c r="M9">
        <v>1.3707422592668106</v>
      </c>
      <c r="N9">
        <v>30.7</v>
      </c>
      <c r="O9">
        <v>36.041666666666664</v>
      </c>
      <c r="P9">
        <v>17.399565689467963</v>
      </c>
      <c r="Q9">
        <v>55.3</v>
      </c>
      <c r="R9">
        <v>61.167136109077326</v>
      </c>
      <c r="S9">
        <v>10.609649383503307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2">
      <c r="A10" t="s">
        <v>292</v>
      </c>
      <c r="B10">
        <v>4.0999999999999996</v>
      </c>
      <c r="C10">
        <v>4.3365561115666313</v>
      </c>
      <c r="D10">
        <v>5.7696612577227242</v>
      </c>
      <c r="E10">
        <v>3</v>
      </c>
      <c r="F10">
        <v>2.9551105551000347</v>
      </c>
      <c r="G10">
        <v>-1.4963148299988425</v>
      </c>
      <c r="H10">
        <v>7.1</v>
      </c>
      <c r="I10">
        <v>7.2916666666666661</v>
      </c>
      <c r="J10">
        <v>2.6995305164319214</v>
      </c>
      <c r="K10">
        <v>37</v>
      </c>
      <c r="L10">
        <v>36.443372608920662</v>
      </c>
      <c r="M10">
        <v>-1.5043983542684822</v>
      </c>
      <c r="N10">
        <v>24.3</v>
      </c>
      <c r="O10">
        <v>25.041666666666664</v>
      </c>
      <c r="P10">
        <v>3.0521262002743357</v>
      </c>
      <c r="Q10">
        <v>51</v>
      </c>
      <c r="R10">
        <v>60.04941555902672</v>
      </c>
      <c r="S10">
        <v>17.74395207652298</v>
      </c>
      <c r="T10">
        <v>1.3</v>
      </c>
      <c r="U10">
        <v>0</v>
      </c>
      <c r="V10">
        <v>-1.3</v>
      </c>
      <c r="W10">
        <v>25.1</v>
      </c>
      <c r="X10">
        <v>23.66244455701235</v>
      </c>
      <c r="Y10">
        <v>-1.4375554429876516</v>
      </c>
    </row>
    <row r="11" spans="1:25" x14ac:dyDescent="0.2">
      <c r="A11" t="s">
        <v>293</v>
      </c>
      <c r="B11">
        <v>4.4000000000000004</v>
      </c>
      <c r="C11">
        <v>4.7814922964709137</v>
      </c>
      <c r="D11">
        <v>8.6702794652480293</v>
      </c>
      <c r="E11">
        <v>4.7</v>
      </c>
      <c r="F11">
        <v>4.0101743701957524</v>
      </c>
      <c r="G11">
        <v>-14.677141059664844</v>
      </c>
      <c r="H11">
        <v>9.1000000000000014</v>
      </c>
      <c r="I11">
        <v>8.7916666666666661</v>
      </c>
      <c r="J11">
        <v>-3.3882783882784095</v>
      </c>
      <c r="K11">
        <v>33.4</v>
      </c>
      <c r="L11">
        <v>33.681852840977797</v>
      </c>
      <c r="M11">
        <v>0.84387078137065363</v>
      </c>
      <c r="N11">
        <v>27.2</v>
      </c>
      <c r="O11">
        <v>31.458333333333332</v>
      </c>
      <c r="P11">
        <v>15.655637254901961</v>
      </c>
      <c r="Q11">
        <v>48.4</v>
      </c>
      <c r="R11">
        <v>56.040957914243734</v>
      </c>
      <c r="S11">
        <v>15.787103128602759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2">
      <c r="A12" t="s">
        <v>294</v>
      </c>
      <c r="B12">
        <v>5</v>
      </c>
      <c r="C12">
        <v>5.3367729119168565</v>
      </c>
      <c r="D12">
        <v>6.73545823833713</v>
      </c>
      <c r="E12">
        <v>2.1</v>
      </c>
      <c r="F12">
        <v>1.9548937547498095</v>
      </c>
      <c r="G12">
        <v>-6.9098212023900265</v>
      </c>
      <c r="H12">
        <v>7.1</v>
      </c>
      <c r="I12">
        <v>7.2916666666666661</v>
      </c>
      <c r="J12">
        <v>2.6995305164319214</v>
      </c>
      <c r="K12">
        <v>59.1</v>
      </c>
      <c r="L12">
        <v>59.975123911714235</v>
      </c>
      <c r="M12">
        <v>1.480751119651833</v>
      </c>
      <c r="N12">
        <v>39.299999999999997</v>
      </c>
      <c r="O12">
        <v>44.458333333333329</v>
      </c>
      <c r="P12">
        <v>13.125530110262931</v>
      </c>
      <c r="Q12">
        <v>59.7</v>
      </c>
      <c r="R12">
        <v>66.518776977290202</v>
      </c>
      <c r="S12">
        <v>11.421736980385592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2">
      <c r="A13" t="s">
        <v>295</v>
      </c>
      <c r="B13">
        <v>4</v>
      </c>
      <c r="C13">
        <v>4.2959005184024246</v>
      </c>
      <c r="D13">
        <v>7.3975129600606149</v>
      </c>
      <c r="E13">
        <v>3.7</v>
      </c>
      <c r="F13">
        <v>3.2457661482642415</v>
      </c>
      <c r="G13">
        <v>-12.276590587452937</v>
      </c>
      <c r="H13">
        <v>7.7</v>
      </c>
      <c r="I13">
        <v>7.5416666666666661</v>
      </c>
      <c r="J13">
        <v>-2.0562770562770663</v>
      </c>
      <c r="K13">
        <v>34.9</v>
      </c>
      <c r="L13">
        <v>34.881864619914751</v>
      </c>
      <c r="M13">
        <v>-5.1963839785810116E-2</v>
      </c>
      <c r="N13">
        <v>27.2</v>
      </c>
      <c r="O13">
        <v>30.291666666666664</v>
      </c>
      <c r="P13">
        <v>11.366421568627445</v>
      </c>
      <c r="Q13">
        <v>46.5</v>
      </c>
      <c r="R13">
        <v>60.443544046607187</v>
      </c>
      <c r="S13">
        <v>29.986116229262766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2">
      <c r="A14" t="s">
        <v>296</v>
      </c>
      <c r="B14">
        <v>4.3</v>
      </c>
      <c r="C14">
        <v>4.711581095548028</v>
      </c>
      <c r="D14">
        <v>9.5716533848378642</v>
      </c>
      <c r="E14">
        <v>2.1</v>
      </c>
      <c r="F14">
        <v>1.7467522377853051</v>
      </c>
      <c r="G14">
        <v>-16.821322010223572</v>
      </c>
      <c r="H14">
        <v>6.4</v>
      </c>
      <c r="I14">
        <v>6.458333333333333</v>
      </c>
      <c r="J14">
        <v>0.91145833333332316</v>
      </c>
      <c r="K14">
        <v>51.9</v>
      </c>
      <c r="L14">
        <v>51.514866345889459</v>
      </c>
      <c r="M14">
        <v>-0.74206869770816897</v>
      </c>
      <c r="N14">
        <v>28.9</v>
      </c>
      <c r="O14">
        <v>29.791666666666664</v>
      </c>
      <c r="P14">
        <v>3.0853517877739298</v>
      </c>
      <c r="Q14">
        <v>60.4</v>
      </c>
      <c r="R14">
        <v>69.420023732407969</v>
      </c>
      <c r="S14">
        <v>14.933814126503265</v>
      </c>
      <c r="T14">
        <v>5.2</v>
      </c>
      <c r="U14">
        <v>4.206471382674863</v>
      </c>
      <c r="V14">
        <v>-0.9935286173251372</v>
      </c>
      <c r="W14">
        <v>37.700000000000003</v>
      </c>
      <c r="X14">
        <v>36.508044061612758</v>
      </c>
      <c r="Y14">
        <v>-1.1919559383872453</v>
      </c>
    </row>
    <row r="15" spans="1:25" x14ac:dyDescent="0.2">
      <c r="A15" t="s">
        <v>297</v>
      </c>
      <c r="B15">
        <v>3.9</v>
      </c>
      <c r="C15">
        <v>4.278030525882679</v>
      </c>
      <c r="D15">
        <v>9.6930904072481816</v>
      </c>
      <c r="E15">
        <v>2</v>
      </c>
      <c r="F15">
        <v>1.7636361407839871</v>
      </c>
      <c r="G15">
        <v>-11.818192960800644</v>
      </c>
      <c r="H15">
        <v>5.9</v>
      </c>
      <c r="I15">
        <v>6.0416666666666661</v>
      </c>
      <c r="J15">
        <v>2.4011299435028088</v>
      </c>
      <c r="K15">
        <v>52.2</v>
      </c>
      <c r="L15">
        <v>52.338436580420932</v>
      </c>
      <c r="M15">
        <v>0.26520417705158916</v>
      </c>
      <c r="N15">
        <v>33</v>
      </c>
      <c r="O15">
        <v>36.125</v>
      </c>
      <c r="P15">
        <v>9.4696969696969688</v>
      </c>
      <c r="Q15">
        <v>60</v>
      </c>
      <c r="R15">
        <v>70.61483945682032</v>
      </c>
      <c r="S15">
        <v>17.691399094700532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2">
      <c r="A16" t="s">
        <v>298</v>
      </c>
      <c r="B16">
        <v>4.4000000000000004</v>
      </c>
      <c r="C16">
        <v>4.6405749688105953</v>
      </c>
      <c r="D16">
        <v>5.4676129275135201</v>
      </c>
      <c r="E16">
        <v>2</v>
      </c>
      <c r="F16">
        <v>1.8177583645227378</v>
      </c>
      <c r="G16">
        <v>-9.1120817738631121</v>
      </c>
      <c r="H16">
        <v>6.4</v>
      </c>
      <c r="I16">
        <v>6.458333333333333</v>
      </c>
      <c r="J16">
        <v>0.91145833333332316</v>
      </c>
      <c r="K16">
        <v>44.6</v>
      </c>
      <c r="L16">
        <v>44.567809298634145</v>
      </c>
      <c r="M16">
        <v>-7.2176460461560538E-2</v>
      </c>
      <c r="N16">
        <v>32.6</v>
      </c>
      <c r="O16">
        <v>34.708333333333329</v>
      </c>
      <c r="P16">
        <v>6.4672801635991624</v>
      </c>
      <c r="Q16">
        <v>61.4</v>
      </c>
      <c r="R16">
        <v>68.765704065669183</v>
      </c>
      <c r="S16">
        <v>11.996260693272289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2">
      <c r="A17" t="s">
        <v>299</v>
      </c>
      <c r="B17">
        <v>4.3</v>
      </c>
      <c r="C17">
        <v>4.6706205110151089</v>
      </c>
      <c r="D17">
        <v>8.6190816515141648</v>
      </c>
      <c r="E17">
        <v>2.7</v>
      </c>
      <c r="F17">
        <v>2.3710461556515572</v>
      </c>
      <c r="G17">
        <v>-12.183475716608999</v>
      </c>
      <c r="H17">
        <v>7</v>
      </c>
      <c r="I17">
        <v>7.0416666666666661</v>
      </c>
      <c r="J17">
        <v>0.5952380952380868</v>
      </c>
      <c r="K17">
        <v>32.799999999999997</v>
      </c>
      <c r="L17">
        <v>32.531708943403501</v>
      </c>
      <c r="M17">
        <v>-0.81796053840395133</v>
      </c>
      <c r="N17">
        <v>17.5</v>
      </c>
      <c r="O17">
        <v>18.875</v>
      </c>
      <c r="P17">
        <v>7.8571428571428568</v>
      </c>
      <c r="Q17">
        <v>55.3</v>
      </c>
      <c r="R17">
        <v>65.011434592502397</v>
      </c>
      <c r="S17">
        <v>17.561364543403979</v>
      </c>
      <c r="T17">
        <v>53.6</v>
      </c>
      <c r="U17">
        <v>52.571204718777665</v>
      </c>
      <c r="V17">
        <v>-1.0287952812223367</v>
      </c>
      <c r="W17">
        <v>77.400000000000006</v>
      </c>
      <c r="X17">
        <v>75.701111359875995</v>
      </c>
      <c r="Y17">
        <v>-1.6988886401240109</v>
      </c>
    </row>
    <row r="18" spans="1:25" x14ac:dyDescent="0.2">
      <c r="A18" t="s">
        <v>300</v>
      </c>
      <c r="B18">
        <v>4.5999999999999996</v>
      </c>
      <c r="C18">
        <v>4.9353836000616589</v>
      </c>
      <c r="D18">
        <v>7.2909478274273756</v>
      </c>
      <c r="E18">
        <v>3.3</v>
      </c>
      <c r="F18">
        <v>3.0229497332716742</v>
      </c>
      <c r="G18">
        <v>-8.3954626281310816</v>
      </c>
      <c r="H18">
        <v>7.8999999999999995</v>
      </c>
      <c r="I18">
        <v>7.958333333333333</v>
      </c>
      <c r="J18">
        <v>0.73839662447257692</v>
      </c>
      <c r="K18">
        <v>40</v>
      </c>
      <c r="L18">
        <v>39.947181907521212</v>
      </c>
      <c r="M18">
        <v>-0.13204523119696887</v>
      </c>
      <c r="N18">
        <v>33.4</v>
      </c>
      <c r="O18">
        <v>36.541666666666664</v>
      </c>
      <c r="P18">
        <v>9.4061876247504959</v>
      </c>
      <c r="Q18">
        <v>52.5</v>
      </c>
      <c r="R18">
        <v>59.10666642962277</v>
      </c>
      <c r="S18">
        <v>12.5841265326148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2">
      <c r="A19" t="s">
        <v>301</v>
      </c>
      <c r="B19">
        <v>4.2</v>
      </c>
      <c r="C19">
        <v>4.5458279948309972</v>
      </c>
      <c r="D19">
        <v>8.2339998769285003</v>
      </c>
      <c r="E19">
        <v>2.2999999999999998</v>
      </c>
      <c r="F19">
        <v>2.0791720051690028</v>
      </c>
      <c r="G19">
        <v>-9.6012171665650889</v>
      </c>
      <c r="H19">
        <v>6.5</v>
      </c>
      <c r="I19">
        <v>6.625</v>
      </c>
      <c r="J19">
        <v>1.9230769230769231</v>
      </c>
      <c r="K19">
        <v>41.7</v>
      </c>
      <c r="L19">
        <v>41.519533288769637</v>
      </c>
      <c r="M19">
        <v>-0.43277388784260473</v>
      </c>
      <c r="N19">
        <v>25.7</v>
      </c>
      <c r="O19">
        <v>26.958333333333332</v>
      </c>
      <c r="P19">
        <v>4.8962386511024629</v>
      </c>
      <c r="Q19">
        <v>57.2</v>
      </c>
      <c r="R19">
        <v>66.306501277125037</v>
      </c>
      <c r="S19">
        <v>15.920456778190617</v>
      </c>
      <c r="T19">
        <v>12.3</v>
      </c>
      <c r="U19">
        <v>12.60299225156551</v>
      </c>
      <c r="V19">
        <v>0.30299225156550946</v>
      </c>
      <c r="W19">
        <v>42.1</v>
      </c>
      <c r="X19">
        <v>41.655041611893431</v>
      </c>
      <c r="Y19">
        <v>-0.44495838810657062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0D3FB-8774-0A49-A633-386285DDD039}">
  <dimension ref="A1:Z133"/>
  <sheetViews>
    <sheetView tabSelected="1" topLeftCell="A100" zoomScale="125" workbookViewId="0">
      <selection activeCell="A133" sqref="A133"/>
    </sheetView>
  </sheetViews>
  <sheetFormatPr baseColWidth="10" defaultColWidth="11.5" defaultRowHeight="15" x14ac:dyDescent="0.2"/>
  <sheetData>
    <row r="1" spans="1:26" x14ac:dyDescent="0.2">
      <c r="A1" s="1" t="s">
        <v>327</v>
      </c>
      <c r="B1" s="2" t="s">
        <v>0</v>
      </c>
      <c r="C1" s="2" t="s">
        <v>23</v>
      </c>
      <c r="D1" s="2" t="s">
        <v>24</v>
      </c>
      <c r="E1" s="3" t="s">
        <v>25</v>
      </c>
      <c r="F1" s="2" t="s">
        <v>26</v>
      </c>
      <c r="G1" s="2" t="s">
        <v>27</v>
      </c>
      <c r="H1" s="3" t="s">
        <v>28</v>
      </c>
      <c r="I1" s="2" t="s">
        <v>29</v>
      </c>
      <c r="J1" s="2" t="s">
        <v>30</v>
      </c>
      <c r="K1" s="3" t="s">
        <v>31</v>
      </c>
      <c r="L1" s="2" t="s">
        <v>32</v>
      </c>
      <c r="M1" s="2" t="s">
        <v>33</v>
      </c>
      <c r="N1" s="3" t="s">
        <v>34</v>
      </c>
      <c r="O1" s="2" t="s">
        <v>35</v>
      </c>
      <c r="P1" s="2" t="s">
        <v>36</v>
      </c>
      <c r="Q1" s="3" t="s">
        <v>37</v>
      </c>
      <c r="R1" s="2" t="s">
        <v>38</v>
      </c>
      <c r="S1" s="2" t="s">
        <v>39</v>
      </c>
      <c r="T1" s="3" t="s">
        <v>40</v>
      </c>
      <c r="U1" s="2" t="s">
        <v>41</v>
      </c>
      <c r="V1" s="2" t="s">
        <v>42</v>
      </c>
      <c r="W1" s="3" t="s">
        <v>43</v>
      </c>
      <c r="X1" s="2" t="s">
        <v>44</v>
      </c>
      <c r="Y1" s="2" t="s">
        <v>45</v>
      </c>
      <c r="Z1" s="3" t="s">
        <v>46</v>
      </c>
    </row>
    <row r="2" spans="1:26" x14ac:dyDescent="0.2">
      <c r="A2" s="1" t="s">
        <v>326</v>
      </c>
      <c r="B2" s="2" t="s">
        <v>1</v>
      </c>
      <c r="C2" s="2">
        <v>5.8</v>
      </c>
      <c r="D2" s="2">
        <v>6.1530119709999997</v>
      </c>
      <c r="E2" s="3">
        <v>6.0864132929999997</v>
      </c>
      <c r="F2" s="2">
        <v>3.6</v>
      </c>
      <c r="G2" s="2">
        <v>3.3053213619999999</v>
      </c>
      <c r="H2" s="3">
        <v>-8.1855177129999994</v>
      </c>
      <c r="I2" s="2">
        <v>9.4</v>
      </c>
      <c r="J2" s="2">
        <v>9.4583333330000006</v>
      </c>
      <c r="K2" s="3">
        <v>0.620567376</v>
      </c>
      <c r="L2" s="2">
        <v>47.2</v>
      </c>
      <c r="M2" s="2">
        <v>46.821082490000002</v>
      </c>
      <c r="N2" s="3">
        <v>-0.80279133999999996</v>
      </c>
      <c r="O2" s="2">
        <v>32.200000000000003</v>
      </c>
      <c r="P2" s="2">
        <v>33.458333330000002</v>
      </c>
      <c r="Q2" s="3">
        <v>3.9078674950000001</v>
      </c>
      <c r="R2" s="2">
        <v>46.7</v>
      </c>
      <c r="S2" s="2">
        <v>54.400319519999996</v>
      </c>
      <c r="T2" s="3">
        <v>16.4889069</v>
      </c>
      <c r="U2" s="2">
        <v>0</v>
      </c>
      <c r="V2" s="2">
        <v>0</v>
      </c>
      <c r="W2" s="3">
        <v>0</v>
      </c>
      <c r="X2" s="2">
        <v>0</v>
      </c>
      <c r="Y2" s="2">
        <v>0</v>
      </c>
      <c r="Z2" s="3">
        <v>0</v>
      </c>
    </row>
    <row r="3" spans="1:26" x14ac:dyDescent="0.2">
      <c r="B3" s="2" t="s">
        <v>2</v>
      </c>
      <c r="C3" s="2">
        <v>3.9</v>
      </c>
      <c r="D3" s="2">
        <v>4.2586989040000001</v>
      </c>
      <c r="E3" s="3">
        <v>9.1974078000000006</v>
      </c>
      <c r="F3" s="2">
        <v>3.8</v>
      </c>
      <c r="G3" s="2">
        <v>3.5329677620000002</v>
      </c>
      <c r="H3" s="3">
        <v>-7.0271641459999996</v>
      </c>
      <c r="I3" s="2">
        <v>7.7</v>
      </c>
      <c r="J3" s="2">
        <v>7.7916666670000003</v>
      </c>
      <c r="K3" s="3">
        <v>1.19047619</v>
      </c>
      <c r="L3" s="2">
        <v>45.4</v>
      </c>
      <c r="M3" s="2">
        <v>45.742276580000002</v>
      </c>
      <c r="N3" s="3">
        <v>0.75391316200000003</v>
      </c>
      <c r="O3" s="2">
        <v>29.2</v>
      </c>
      <c r="P3" s="2">
        <v>32.875</v>
      </c>
      <c r="Q3" s="3">
        <v>12.585616440000001</v>
      </c>
      <c r="R3" s="2">
        <v>48.1</v>
      </c>
      <c r="S3" s="2">
        <v>56.11035777</v>
      </c>
      <c r="T3" s="3">
        <v>16.653550460000002</v>
      </c>
      <c r="U3" s="2">
        <v>0</v>
      </c>
      <c r="V3" s="2">
        <v>0</v>
      </c>
      <c r="W3" s="3">
        <v>0</v>
      </c>
      <c r="X3" s="2">
        <v>0</v>
      </c>
      <c r="Y3" s="2">
        <v>0</v>
      </c>
      <c r="Z3" s="3">
        <v>0</v>
      </c>
    </row>
    <row r="4" spans="1:26" x14ac:dyDescent="0.2">
      <c r="B4" s="2" t="s">
        <v>3</v>
      </c>
      <c r="C4" s="2">
        <v>7.7</v>
      </c>
      <c r="D4" s="2">
        <v>7.918593939</v>
      </c>
      <c r="E4" s="3">
        <v>2.8388823269999999</v>
      </c>
      <c r="F4" s="2">
        <v>3.1</v>
      </c>
      <c r="G4" s="2">
        <v>2.956406061</v>
      </c>
      <c r="H4" s="3">
        <v>-4.632062554</v>
      </c>
      <c r="I4" s="2">
        <v>10.8</v>
      </c>
      <c r="J4" s="2">
        <v>10.875</v>
      </c>
      <c r="K4" s="3">
        <v>0.69444444400000005</v>
      </c>
      <c r="L4" s="2">
        <v>60.3</v>
      </c>
      <c r="M4" s="2">
        <v>60.164092439999997</v>
      </c>
      <c r="N4" s="3">
        <v>-0.22538566500000001</v>
      </c>
      <c r="O4" s="2">
        <v>33.200000000000003</v>
      </c>
      <c r="P4" s="2">
        <v>33.208333330000002</v>
      </c>
      <c r="Q4" s="3">
        <v>2.5100402000000001E-2</v>
      </c>
      <c r="R4" s="2">
        <v>51.1</v>
      </c>
      <c r="S4" s="2">
        <v>55.146338229999998</v>
      </c>
      <c r="T4" s="3">
        <v>7.9184701190000002</v>
      </c>
      <c r="U4" s="2">
        <v>0</v>
      </c>
      <c r="V4" s="2">
        <v>0</v>
      </c>
      <c r="W4" s="3">
        <v>0</v>
      </c>
      <c r="X4" s="2">
        <v>0</v>
      </c>
      <c r="Y4" s="2">
        <v>0</v>
      </c>
      <c r="Z4" s="3">
        <v>0</v>
      </c>
    </row>
    <row r="5" spans="1:26" x14ac:dyDescent="0.2">
      <c r="B5" s="2" t="s">
        <v>4</v>
      </c>
      <c r="C5" s="2">
        <v>6</v>
      </c>
      <c r="D5" s="2">
        <v>6.3856007320000003</v>
      </c>
      <c r="E5" s="3">
        <v>6.4266788589999999</v>
      </c>
      <c r="F5" s="2">
        <v>3.8</v>
      </c>
      <c r="G5" s="2">
        <v>3.406065935</v>
      </c>
      <c r="H5" s="3">
        <v>-10.36668592</v>
      </c>
      <c r="I5" s="2">
        <v>9.8000000000000007</v>
      </c>
      <c r="J5" s="2">
        <v>9.7916666669999994</v>
      </c>
      <c r="K5" s="3">
        <v>-8.5034014000000005E-2</v>
      </c>
      <c r="L5" s="2">
        <v>48.2</v>
      </c>
      <c r="M5" s="2">
        <v>48.034195599999997</v>
      </c>
      <c r="N5" s="3">
        <v>-0.34399252299999999</v>
      </c>
      <c r="O5" s="2">
        <v>33.4</v>
      </c>
      <c r="P5" s="2">
        <v>35.625</v>
      </c>
      <c r="Q5" s="3">
        <v>6.6616766470000002</v>
      </c>
      <c r="R5" s="2">
        <v>45.7</v>
      </c>
      <c r="S5" s="2">
        <v>52.930681399999997</v>
      </c>
      <c r="T5" s="3">
        <v>15.82205995</v>
      </c>
      <c r="U5" s="2">
        <v>0</v>
      </c>
      <c r="V5" s="2">
        <v>0</v>
      </c>
      <c r="W5" s="3">
        <v>0</v>
      </c>
      <c r="X5" s="2">
        <v>0</v>
      </c>
      <c r="Y5" s="2">
        <v>0</v>
      </c>
      <c r="Z5" s="3">
        <v>0</v>
      </c>
    </row>
    <row r="6" spans="1:26" x14ac:dyDescent="0.2">
      <c r="B6" s="2" t="s">
        <v>5</v>
      </c>
      <c r="C6" s="2">
        <v>7.6</v>
      </c>
      <c r="D6" s="2">
        <v>7.8389835479999999</v>
      </c>
      <c r="E6" s="3">
        <v>3.1445203720000001</v>
      </c>
      <c r="F6" s="2">
        <v>2.2000000000000002</v>
      </c>
      <c r="G6" s="2">
        <v>2.2860164520000001</v>
      </c>
      <c r="H6" s="3">
        <v>3.9098387140000002</v>
      </c>
      <c r="I6" s="2">
        <v>9.8000000000000007</v>
      </c>
      <c r="J6" s="2">
        <v>10.125</v>
      </c>
      <c r="K6" s="3">
        <v>3.3163265310000001</v>
      </c>
      <c r="L6" s="2">
        <v>73.2</v>
      </c>
      <c r="M6" s="2">
        <v>72.877090760000002</v>
      </c>
      <c r="N6" s="3">
        <v>-0.44113284200000002</v>
      </c>
      <c r="O6" s="2">
        <v>36.700000000000003</v>
      </c>
      <c r="P6" s="2">
        <v>33.708333330000002</v>
      </c>
      <c r="Q6" s="3">
        <v>-8.1516802909999999</v>
      </c>
      <c r="R6" s="2">
        <v>57.9</v>
      </c>
      <c r="S6" s="2">
        <v>61.582072099999998</v>
      </c>
      <c r="T6" s="3">
        <v>6.3593645859999999</v>
      </c>
      <c r="U6" s="2">
        <v>0</v>
      </c>
      <c r="V6" s="2">
        <v>0</v>
      </c>
      <c r="W6" s="3">
        <v>0</v>
      </c>
      <c r="X6" s="2">
        <v>0</v>
      </c>
      <c r="Y6" s="2">
        <v>0</v>
      </c>
      <c r="Z6" s="3">
        <v>0</v>
      </c>
    </row>
    <row r="7" spans="1:26" x14ac:dyDescent="0.2">
      <c r="B7" s="2" t="s">
        <v>6</v>
      </c>
      <c r="C7" s="2">
        <v>5.8</v>
      </c>
      <c r="D7" s="2">
        <v>6.2016425479999997</v>
      </c>
      <c r="E7" s="3">
        <v>6.924871521</v>
      </c>
      <c r="F7" s="2">
        <v>3.3</v>
      </c>
      <c r="G7" s="2">
        <v>3.0900241180000001</v>
      </c>
      <c r="H7" s="3">
        <v>-6.3629055010000002</v>
      </c>
      <c r="I7" s="2">
        <v>9.1</v>
      </c>
      <c r="J7" s="2">
        <v>9.2916666669999994</v>
      </c>
      <c r="K7" s="3">
        <v>2.106227106</v>
      </c>
      <c r="L7" s="2">
        <v>43.5</v>
      </c>
      <c r="M7" s="2">
        <v>42.742691350000001</v>
      </c>
      <c r="N7" s="3">
        <v>-1.740939419</v>
      </c>
      <c r="O7" s="2">
        <v>24.2</v>
      </c>
      <c r="P7" s="2">
        <v>24.541666670000001</v>
      </c>
      <c r="Q7" s="3">
        <v>1.41184573</v>
      </c>
      <c r="R7" s="2">
        <v>46.6</v>
      </c>
      <c r="S7" s="2">
        <v>56.56836517</v>
      </c>
      <c r="T7" s="3">
        <v>21.391341560000001</v>
      </c>
      <c r="U7" s="2">
        <v>40.700000000000003</v>
      </c>
      <c r="V7" s="2">
        <v>36.59044068</v>
      </c>
      <c r="W7" s="3">
        <v>-4.1095593189999997</v>
      </c>
      <c r="X7" s="2">
        <v>71.400000000000006</v>
      </c>
      <c r="Y7" s="2">
        <v>67.917038689999998</v>
      </c>
      <c r="Z7" s="3">
        <v>-3.4829613149999998</v>
      </c>
    </row>
    <row r="8" spans="1:26" x14ac:dyDescent="0.2">
      <c r="B8" s="2" t="s">
        <v>7</v>
      </c>
      <c r="C8" s="2">
        <v>6.5</v>
      </c>
      <c r="D8" s="2">
        <v>6.7623002520000002</v>
      </c>
      <c r="E8" s="3">
        <v>4.0353884989999997</v>
      </c>
      <c r="F8" s="2">
        <v>3.6</v>
      </c>
      <c r="G8" s="2">
        <v>3.9460330809999999</v>
      </c>
      <c r="H8" s="3">
        <v>9.6120300249999993</v>
      </c>
      <c r="I8" s="2">
        <v>10.1</v>
      </c>
      <c r="J8" s="2">
        <v>10.70833333</v>
      </c>
      <c r="K8" s="3">
        <v>6.0231023099999996</v>
      </c>
      <c r="L8" s="2">
        <v>48.6</v>
      </c>
      <c r="M8" s="2">
        <v>48.546144630000001</v>
      </c>
      <c r="N8" s="3">
        <v>-0.110813514</v>
      </c>
      <c r="O8" s="2">
        <v>31.2</v>
      </c>
      <c r="P8" s="2">
        <v>30.875</v>
      </c>
      <c r="Q8" s="3">
        <v>-1.0416666670000001</v>
      </c>
      <c r="R8" s="2">
        <v>44.7</v>
      </c>
      <c r="S8" s="2">
        <v>49.791157320000003</v>
      </c>
      <c r="T8" s="3">
        <v>11.389613689999999</v>
      </c>
      <c r="U8" s="2">
        <v>0</v>
      </c>
      <c r="V8" s="2">
        <v>0</v>
      </c>
      <c r="W8" s="3">
        <v>0</v>
      </c>
      <c r="X8" s="2">
        <v>0</v>
      </c>
      <c r="Y8" s="2">
        <v>0</v>
      </c>
      <c r="Z8" s="3">
        <v>0</v>
      </c>
    </row>
    <row r="9" spans="1:26" x14ac:dyDescent="0.2">
      <c r="B9" s="2" t="s">
        <v>8</v>
      </c>
      <c r="C9" s="2">
        <v>6</v>
      </c>
      <c r="D9" s="2">
        <v>6.2553933930000003</v>
      </c>
      <c r="E9" s="3">
        <v>4.2565565469999997</v>
      </c>
      <c r="F9" s="2">
        <v>2.5</v>
      </c>
      <c r="G9" s="2">
        <v>2.3696066070000001</v>
      </c>
      <c r="H9" s="3">
        <v>-5.2157357129999999</v>
      </c>
      <c r="I9" s="2">
        <v>8.5</v>
      </c>
      <c r="J9" s="2">
        <v>8.625</v>
      </c>
      <c r="K9" s="3">
        <v>1.4705882349999999</v>
      </c>
      <c r="L9" s="2">
        <v>54.7</v>
      </c>
      <c r="M9" s="2">
        <v>53.568445140000001</v>
      </c>
      <c r="N9" s="3">
        <v>-2.0686560599999999</v>
      </c>
      <c r="O9" s="2">
        <v>31.6</v>
      </c>
      <c r="P9" s="2">
        <v>30.125</v>
      </c>
      <c r="Q9" s="3">
        <v>-4.6677215189999997</v>
      </c>
      <c r="R9" s="2">
        <v>54.1</v>
      </c>
      <c r="S9" s="2">
        <v>61.503132440000002</v>
      </c>
      <c r="T9" s="3">
        <v>13.68416347</v>
      </c>
      <c r="U9" s="2">
        <v>6.9</v>
      </c>
      <c r="V9" s="2">
        <v>2.9398716309999999</v>
      </c>
      <c r="W9" s="3">
        <v>-3.960128369</v>
      </c>
      <c r="X9" s="2">
        <v>42.8</v>
      </c>
      <c r="Y9" s="2">
        <v>36.818522919999999</v>
      </c>
      <c r="Z9" s="3">
        <v>-5.981477076</v>
      </c>
    </row>
    <row r="10" spans="1:26" x14ac:dyDescent="0.2">
      <c r="B10" s="2" t="s">
        <v>9</v>
      </c>
      <c r="C10" s="2">
        <v>5.8</v>
      </c>
      <c r="D10" s="2">
        <v>6.0647243729999998</v>
      </c>
      <c r="E10" s="3">
        <v>4.5642133210000004</v>
      </c>
      <c r="F10" s="2">
        <v>2.8</v>
      </c>
      <c r="G10" s="2">
        <v>2.5602756270000002</v>
      </c>
      <c r="H10" s="3">
        <v>-8.5615847370000004</v>
      </c>
      <c r="I10" s="2">
        <v>8.6</v>
      </c>
      <c r="J10" s="2">
        <v>8.625</v>
      </c>
      <c r="K10" s="3">
        <v>0.29069767400000002</v>
      </c>
      <c r="L10" s="2">
        <v>51.3</v>
      </c>
      <c r="M10" s="2">
        <v>50.515521489999998</v>
      </c>
      <c r="N10" s="3">
        <v>-1.5291978820000001</v>
      </c>
      <c r="O10" s="2">
        <v>25.5</v>
      </c>
      <c r="P10" s="2">
        <v>25.541666670000001</v>
      </c>
      <c r="Q10" s="3">
        <v>0.16339869300000001</v>
      </c>
      <c r="R10" s="2">
        <v>43.4</v>
      </c>
      <c r="S10" s="2">
        <v>60.01911535</v>
      </c>
      <c r="T10" s="3">
        <v>38.292892510000001</v>
      </c>
      <c r="U10" s="2">
        <v>36.799999999999997</v>
      </c>
      <c r="V10" s="2">
        <v>32.442689340000001</v>
      </c>
      <c r="W10" s="3">
        <v>-4.357310655</v>
      </c>
      <c r="X10" s="2">
        <v>69.2</v>
      </c>
      <c r="Y10" s="2">
        <v>65.411908139999994</v>
      </c>
      <c r="Z10" s="3">
        <v>-3.7880918600000002</v>
      </c>
    </row>
    <row r="11" spans="1:26" x14ac:dyDescent="0.2">
      <c r="B11" s="2" t="s">
        <v>10</v>
      </c>
      <c r="C11" s="2">
        <v>6.1</v>
      </c>
      <c r="D11" s="2">
        <v>6.3947836950000001</v>
      </c>
      <c r="E11" s="3">
        <v>4.8325195909999996</v>
      </c>
      <c r="F11" s="2">
        <v>4.8</v>
      </c>
      <c r="G11" s="2">
        <v>4.3968829720000002</v>
      </c>
      <c r="H11" s="3">
        <v>-8.3982714250000008</v>
      </c>
      <c r="I11" s="2">
        <v>10.9</v>
      </c>
      <c r="J11" s="2">
        <v>10.79166667</v>
      </c>
      <c r="K11" s="3">
        <v>-0.99388379199999999</v>
      </c>
      <c r="L11" s="2">
        <v>41.1</v>
      </c>
      <c r="M11" s="2">
        <v>40.774780909999997</v>
      </c>
      <c r="N11" s="3">
        <v>-0.79128732700000004</v>
      </c>
      <c r="O11" s="2">
        <v>31.2</v>
      </c>
      <c r="P11" s="2">
        <v>32.541666669999998</v>
      </c>
      <c r="Q11" s="3">
        <v>4.3002136750000002</v>
      </c>
      <c r="R11" s="2">
        <v>41</v>
      </c>
      <c r="S11" s="2">
        <v>47.886995579999997</v>
      </c>
      <c r="T11" s="3">
        <v>16.7975502</v>
      </c>
      <c r="U11" s="2">
        <v>0</v>
      </c>
      <c r="V11" s="2">
        <v>0</v>
      </c>
      <c r="W11" s="3">
        <v>0</v>
      </c>
      <c r="X11" s="2">
        <v>0</v>
      </c>
      <c r="Y11" s="2">
        <v>0</v>
      </c>
      <c r="Z11" s="3">
        <v>0</v>
      </c>
    </row>
    <row r="12" spans="1:26" x14ac:dyDescent="0.2">
      <c r="B12" s="2" t="s">
        <v>11</v>
      </c>
      <c r="C12" s="2">
        <v>6.2</v>
      </c>
      <c r="D12" s="2">
        <v>6.448701561</v>
      </c>
      <c r="E12" s="3">
        <v>4.0113154919999996</v>
      </c>
      <c r="F12" s="2">
        <v>2.9</v>
      </c>
      <c r="G12" s="2">
        <v>2.7596317730000002</v>
      </c>
      <c r="H12" s="3">
        <v>-4.8402836960000002</v>
      </c>
      <c r="I12" s="2">
        <v>9.1</v>
      </c>
      <c r="J12" s="2">
        <v>9.2083333330000006</v>
      </c>
      <c r="K12" s="3">
        <v>1.19047619</v>
      </c>
      <c r="L12" s="2">
        <v>51</v>
      </c>
      <c r="M12" s="2">
        <v>50.137454269999999</v>
      </c>
      <c r="N12" s="3">
        <v>-1.6912661330000001</v>
      </c>
      <c r="O12" s="2">
        <v>27.2</v>
      </c>
      <c r="P12" s="2">
        <v>26.375</v>
      </c>
      <c r="Q12" s="3">
        <v>-3.0330882350000001</v>
      </c>
      <c r="R12" s="2">
        <v>50.1</v>
      </c>
      <c r="S12" s="2">
        <v>58.222303889999999</v>
      </c>
      <c r="T12" s="3">
        <v>16.212183410000002</v>
      </c>
      <c r="U12" s="2">
        <v>20.5</v>
      </c>
      <c r="V12" s="2">
        <v>15.52890419</v>
      </c>
      <c r="W12" s="3">
        <v>-4.9710958129999998</v>
      </c>
      <c r="X12" s="2">
        <v>59.2</v>
      </c>
      <c r="Y12" s="2">
        <v>54.245565620000001</v>
      </c>
      <c r="Z12" s="3">
        <v>-4.9544343780000002</v>
      </c>
    </row>
    <row r="13" spans="1:26" x14ac:dyDescent="0.2">
      <c r="B13" s="2" t="s">
        <v>12</v>
      </c>
      <c r="C13" s="2">
        <v>5.7</v>
      </c>
      <c r="D13" s="2">
        <v>5.9523653970000003</v>
      </c>
      <c r="E13" s="3">
        <v>4.4274630999999998</v>
      </c>
      <c r="F13" s="2">
        <v>2.8</v>
      </c>
      <c r="G13" s="2">
        <v>2.58930127</v>
      </c>
      <c r="H13" s="3">
        <v>-7.5249546440000001</v>
      </c>
      <c r="I13" s="2">
        <v>8.5</v>
      </c>
      <c r="J13" s="2">
        <v>8.5416666669999994</v>
      </c>
      <c r="K13" s="3">
        <v>0.49019607799999998</v>
      </c>
      <c r="L13" s="2">
        <v>36.799999999999997</v>
      </c>
      <c r="M13" s="2">
        <v>36.419124709999998</v>
      </c>
      <c r="N13" s="3">
        <v>-1.034987214</v>
      </c>
      <c r="O13" s="2">
        <v>16.3</v>
      </c>
      <c r="P13" s="2">
        <v>17.208333329999999</v>
      </c>
      <c r="Q13" s="3">
        <v>5.5725971369999998</v>
      </c>
      <c r="R13" s="2">
        <v>53.7</v>
      </c>
      <c r="S13" s="2">
        <v>60.414400860000001</v>
      </c>
      <c r="T13" s="3">
        <v>12.50353977</v>
      </c>
      <c r="U13" s="2">
        <v>73.7</v>
      </c>
      <c r="V13" s="2">
        <v>69.045748040000007</v>
      </c>
      <c r="W13" s="3">
        <v>-4.6542519589999998</v>
      </c>
      <c r="X13" s="2">
        <v>87.3</v>
      </c>
      <c r="Y13" s="2">
        <v>84.330048529999999</v>
      </c>
      <c r="Z13" s="3">
        <v>-2.969951467</v>
      </c>
    </row>
    <row r="14" spans="1:26" x14ac:dyDescent="0.2">
      <c r="B14" s="2" t="s">
        <v>13</v>
      </c>
      <c r="C14" s="2">
        <v>5.8</v>
      </c>
      <c r="D14" s="2">
        <v>6.072379475</v>
      </c>
      <c r="E14" s="3">
        <v>4.696197851</v>
      </c>
      <c r="F14" s="2">
        <v>3.4</v>
      </c>
      <c r="G14" s="2">
        <v>3.1359538580000001</v>
      </c>
      <c r="H14" s="3">
        <v>-7.7660629999999999</v>
      </c>
      <c r="I14" s="2">
        <v>9.1999999999999993</v>
      </c>
      <c r="J14" s="2">
        <v>9.2083333330000006</v>
      </c>
      <c r="K14" s="3">
        <v>9.0579709999999994E-2</v>
      </c>
      <c r="L14" s="2">
        <v>49.3</v>
      </c>
      <c r="M14" s="2">
        <v>49.542858099999997</v>
      </c>
      <c r="N14" s="3">
        <v>0.492612785</v>
      </c>
      <c r="O14" s="2">
        <v>34.299999999999997</v>
      </c>
      <c r="P14" s="2">
        <v>37.541666669999998</v>
      </c>
      <c r="Q14" s="3">
        <v>9.4509232260000005</v>
      </c>
      <c r="R14" s="2">
        <v>49.5</v>
      </c>
      <c r="S14" s="2">
        <v>55.52429815</v>
      </c>
      <c r="T14" s="3">
        <v>12.170299290000001</v>
      </c>
      <c r="U14" s="2">
        <v>0</v>
      </c>
      <c r="V14" s="2">
        <v>0</v>
      </c>
      <c r="W14" s="3">
        <v>0</v>
      </c>
      <c r="X14" s="2">
        <v>0</v>
      </c>
      <c r="Y14" s="2">
        <v>0</v>
      </c>
      <c r="Z14" s="3">
        <v>0</v>
      </c>
    </row>
    <row r="15" spans="1:26" x14ac:dyDescent="0.2">
      <c r="B15" s="2" t="s">
        <v>14</v>
      </c>
      <c r="C15" s="2">
        <v>5.8</v>
      </c>
      <c r="D15" s="2">
        <v>6.0601470280000003</v>
      </c>
      <c r="E15" s="3">
        <v>4.4852935829999998</v>
      </c>
      <c r="F15" s="2">
        <v>2.8</v>
      </c>
      <c r="G15" s="2">
        <v>2.7315196390000001</v>
      </c>
      <c r="H15" s="3">
        <v>-2.445727185</v>
      </c>
      <c r="I15" s="2">
        <v>8.6</v>
      </c>
      <c r="J15" s="2">
        <v>8.7916666669999994</v>
      </c>
      <c r="K15" s="3">
        <v>2.228682171</v>
      </c>
      <c r="L15" s="2">
        <v>57.5</v>
      </c>
      <c r="M15" s="2">
        <v>57.750753779999997</v>
      </c>
      <c r="N15" s="3">
        <v>0.43609353200000001</v>
      </c>
      <c r="O15" s="2">
        <v>36.700000000000003</v>
      </c>
      <c r="P15" s="2">
        <v>40.208333330000002</v>
      </c>
      <c r="Q15" s="3">
        <v>9.559491371</v>
      </c>
      <c r="R15" s="2">
        <v>53.6</v>
      </c>
      <c r="S15" s="2">
        <v>58.651322159999999</v>
      </c>
      <c r="T15" s="3">
        <v>9.4241085049999995</v>
      </c>
      <c r="U15" s="2">
        <v>0</v>
      </c>
      <c r="V15" s="2">
        <v>0</v>
      </c>
      <c r="W15" s="3">
        <v>0</v>
      </c>
      <c r="X15" s="2">
        <v>0</v>
      </c>
      <c r="Y15" s="2">
        <v>0</v>
      </c>
      <c r="Z15" s="3">
        <v>0</v>
      </c>
    </row>
    <row r="16" spans="1:26" x14ac:dyDescent="0.2">
      <c r="B16" s="2" t="s">
        <v>15</v>
      </c>
      <c r="C16" s="2">
        <v>5.9</v>
      </c>
      <c r="D16" s="2">
        <v>6.2293441190000003</v>
      </c>
      <c r="E16" s="3">
        <v>5.5821037149999997</v>
      </c>
      <c r="F16" s="2">
        <v>2.8</v>
      </c>
      <c r="G16" s="2">
        <v>2.6456558810000002</v>
      </c>
      <c r="H16" s="3">
        <v>-5.5122899710000004</v>
      </c>
      <c r="I16" s="2">
        <v>8.6999999999999993</v>
      </c>
      <c r="J16" s="2">
        <v>8.875</v>
      </c>
      <c r="K16" s="3">
        <v>2.011494253</v>
      </c>
      <c r="L16" s="2">
        <v>54.7</v>
      </c>
      <c r="M16" s="2">
        <v>54.02167875</v>
      </c>
      <c r="N16" s="3">
        <v>-1.240075405</v>
      </c>
      <c r="O16" s="2">
        <v>33.799999999999997</v>
      </c>
      <c r="P16" s="2">
        <v>33.875</v>
      </c>
      <c r="Q16" s="3">
        <v>0.221893491</v>
      </c>
      <c r="R16" s="2">
        <v>51.5</v>
      </c>
      <c r="S16" s="2">
        <v>58.9353774</v>
      </c>
      <c r="T16" s="3">
        <v>14.43762602</v>
      </c>
      <c r="U16" s="2">
        <v>0</v>
      </c>
      <c r="V16" s="2">
        <v>0</v>
      </c>
      <c r="W16" s="3">
        <v>0</v>
      </c>
      <c r="X16" s="2">
        <v>0</v>
      </c>
      <c r="Y16" s="2">
        <v>0</v>
      </c>
      <c r="Z16" s="3">
        <v>0</v>
      </c>
    </row>
    <row r="17" spans="1:26" x14ac:dyDescent="0.2">
      <c r="B17" s="2" t="s">
        <v>16</v>
      </c>
      <c r="C17" s="2">
        <v>6.6</v>
      </c>
      <c r="D17" s="2">
        <v>6.9248548169999999</v>
      </c>
      <c r="E17" s="3">
        <v>4.9220426760000002</v>
      </c>
      <c r="F17" s="2">
        <v>3.2</v>
      </c>
      <c r="G17" s="2">
        <v>3.4501451830000001</v>
      </c>
      <c r="H17" s="3">
        <v>7.8170369810000002</v>
      </c>
      <c r="I17" s="2">
        <v>9.8000000000000007</v>
      </c>
      <c r="J17" s="2">
        <v>10.375</v>
      </c>
      <c r="K17" s="3">
        <v>5.8673469389999999</v>
      </c>
      <c r="L17" s="2">
        <v>56.7</v>
      </c>
      <c r="M17" s="2">
        <v>56.962885069999999</v>
      </c>
      <c r="N17" s="3">
        <v>0.463642106</v>
      </c>
      <c r="O17" s="2">
        <v>35.1</v>
      </c>
      <c r="P17" s="2">
        <v>33.791666669999998</v>
      </c>
      <c r="Q17" s="3">
        <v>-3.7274453940000001</v>
      </c>
      <c r="R17" s="2">
        <v>49.8</v>
      </c>
      <c r="S17" s="2">
        <v>52.516013379999997</v>
      </c>
      <c r="T17" s="3">
        <v>5.4538421230000003</v>
      </c>
      <c r="U17" s="2">
        <v>0</v>
      </c>
      <c r="V17" s="2">
        <v>0</v>
      </c>
      <c r="W17" s="3">
        <v>0</v>
      </c>
      <c r="X17" s="2">
        <v>0</v>
      </c>
      <c r="Y17" s="2">
        <v>0</v>
      </c>
      <c r="Z17" s="3">
        <v>0</v>
      </c>
    </row>
    <row r="18" spans="1:26" x14ac:dyDescent="0.2">
      <c r="B18" s="2" t="s">
        <v>17</v>
      </c>
      <c r="C18" s="2">
        <v>5.8</v>
      </c>
      <c r="D18" s="2">
        <v>6.1425533980000004</v>
      </c>
      <c r="E18" s="3">
        <v>5.9060930760000003</v>
      </c>
      <c r="F18" s="2">
        <v>3.2</v>
      </c>
      <c r="G18" s="2">
        <v>2.982446602</v>
      </c>
      <c r="H18" s="3">
        <v>-6.7985436999999997</v>
      </c>
      <c r="I18" s="2">
        <v>9</v>
      </c>
      <c r="J18" s="2">
        <v>9.125</v>
      </c>
      <c r="K18" s="3">
        <v>1.388888889</v>
      </c>
      <c r="L18" s="2">
        <v>51.7</v>
      </c>
      <c r="M18" s="2">
        <v>51.159784010000003</v>
      </c>
      <c r="N18" s="3">
        <v>-1.044905204</v>
      </c>
      <c r="O18" s="2">
        <v>35</v>
      </c>
      <c r="P18" s="2">
        <v>35.875</v>
      </c>
      <c r="Q18" s="3">
        <v>2.5</v>
      </c>
      <c r="R18" s="2">
        <v>50.1</v>
      </c>
      <c r="S18" s="2">
        <v>56.592787289999997</v>
      </c>
      <c r="T18" s="3">
        <v>12.959655270000001</v>
      </c>
      <c r="U18" s="2">
        <v>0</v>
      </c>
      <c r="V18" s="2">
        <v>0</v>
      </c>
      <c r="W18" s="3">
        <v>0</v>
      </c>
      <c r="X18" s="2">
        <v>0</v>
      </c>
      <c r="Y18" s="2">
        <v>0</v>
      </c>
      <c r="Z18" s="3">
        <v>0</v>
      </c>
    </row>
    <row r="19" spans="1:26" x14ac:dyDescent="0.2">
      <c r="B19" s="2" t="s">
        <v>18</v>
      </c>
      <c r="C19" s="2">
        <v>5.8</v>
      </c>
      <c r="D19" s="2">
        <v>6.03411133</v>
      </c>
      <c r="E19" s="3">
        <v>4.0364022420000003</v>
      </c>
      <c r="F19" s="2">
        <v>2.8</v>
      </c>
      <c r="G19" s="2">
        <v>2.59088867</v>
      </c>
      <c r="H19" s="3">
        <v>-7.4682617870000003</v>
      </c>
      <c r="I19" s="2">
        <v>8.6</v>
      </c>
      <c r="J19" s="2">
        <v>8.625</v>
      </c>
      <c r="K19" s="3">
        <v>0.29069767400000002</v>
      </c>
      <c r="L19" s="2">
        <v>50.4</v>
      </c>
      <c r="M19" s="2">
        <v>49.227583090000003</v>
      </c>
      <c r="N19" s="3">
        <v>-2.3262240240000001</v>
      </c>
      <c r="O19" s="2">
        <v>29.7</v>
      </c>
      <c r="P19" s="2">
        <v>27.541666670000001</v>
      </c>
      <c r="Q19" s="3">
        <v>-7.2671156000000003</v>
      </c>
      <c r="R19" s="2">
        <v>53.3</v>
      </c>
      <c r="S19" s="2">
        <v>59.761209700000002</v>
      </c>
      <c r="T19" s="3">
        <v>12.12234466</v>
      </c>
      <c r="U19" s="2">
        <v>22.1</v>
      </c>
      <c r="V19" s="2">
        <v>13.350198580000001</v>
      </c>
      <c r="W19" s="3">
        <v>-8.7498014150000003</v>
      </c>
      <c r="X19" s="2">
        <v>60.5</v>
      </c>
      <c r="Y19" s="2">
        <v>52.951159150000002</v>
      </c>
      <c r="Z19" s="3">
        <v>-7.5488408539999998</v>
      </c>
    </row>
    <row r="20" spans="1:26" x14ac:dyDescent="0.2">
      <c r="B20" s="2" t="s">
        <v>19</v>
      </c>
      <c r="C20" s="2">
        <v>6.1</v>
      </c>
      <c r="D20" s="2">
        <v>6.3871953799999996</v>
      </c>
      <c r="E20" s="3">
        <v>4.708120986</v>
      </c>
      <c r="F20" s="2">
        <v>2.8</v>
      </c>
      <c r="G20" s="2">
        <v>2.571137953</v>
      </c>
      <c r="H20" s="3">
        <v>-8.1736445290000006</v>
      </c>
      <c r="I20" s="2">
        <v>8.9</v>
      </c>
      <c r="J20" s="2">
        <v>8.9583333330000006</v>
      </c>
      <c r="K20" s="3">
        <v>0.65543071200000003</v>
      </c>
      <c r="L20" s="2">
        <v>59</v>
      </c>
      <c r="M20" s="2">
        <v>58.47703482</v>
      </c>
      <c r="N20" s="3">
        <v>-0.88638165899999999</v>
      </c>
      <c r="O20" s="2">
        <v>34.200000000000003</v>
      </c>
      <c r="P20" s="2">
        <v>35.291666669999998</v>
      </c>
      <c r="Q20" s="3">
        <v>3.192007797</v>
      </c>
      <c r="R20" s="2">
        <v>54.1</v>
      </c>
      <c r="S20" s="2">
        <v>59.92185593</v>
      </c>
      <c r="T20" s="3">
        <v>10.761286370000001</v>
      </c>
      <c r="U20" s="2">
        <v>0</v>
      </c>
      <c r="V20" s="2">
        <v>0</v>
      </c>
      <c r="W20" s="3">
        <v>0</v>
      </c>
      <c r="X20" s="2">
        <v>0</v>
      </c>
      <c r="Y20" s="2">
        <v>0</v>
      </c>
      <c r="Z20" s="3">
        <v>0</v>
      </c>
    </row>
    <row r="21" spans="1:26" x14ac:dyDescent="0.2">
      <c r="B21" s="2" t="s">
        <v>20</v>
      </c>
      <c r="C21" s="2">
        <v>5.5</v>
      </c>
      <c r="D21" s="2">
        <v>5.7436518320000003</v>
      </c>
      <c r="E21" s="3">
        <v>4.4300333060000003</v>
      </c>
      <c r="F21" s="2">
        <v>2.4</v>
      </c>
      <c r="G21" s="2">
        <v>2.298014835</v>
      </c>
      <c r="H21" s="3">
        <v>-4.2493818809999997</v>
      </c>
      <c r="I21" s="2">
        <v>7.9</v>
      </c>
      <c r="J21" s="2">
        <v>8.0416666669999994</v>
      </c>
      <c r="K21" s="3">
        <v>1.793248945</v>
      </c>
      <c r="L21" s="2">
        <v>41.4</v>
      </c>
      <c r="M21" s="2">
        <v>40.949273920000003</v>
      </c>
      <c r="N21" s="3">
        <v>-1.08871034</v>
      </c>
      <c r="O21" s="2">
        <v>16.2</v>
      </c>
      <c r="P21" s="2">
        <v>16.958333329999999</v>
      </c>
      <c r="Q21" s="3">
        <v>4.6810699590000002</v>
      </c>
      <c r="R21" s="2">
        <v>53.4</v>
      </c>
      <c r="S21" s="2">
        <v>63.132206510000003</v>
      </c>
      <c r="T21" s="3">
        <v>18.22510582</v>
      </c>
      <c r="U21" s="2">
        <v>75.900000000000006</v>
      </c>
      <c r="V21" s="2">
        <v>70.500422240000006</v>
      </c>
      <c r="W21" s="3">
        <v>-5.3995777599999997</v>
      </c>
      <c r="X21" s="2">
        <v>88.3</v>
      </c>
      <c r="Y21" s="2">
        <v>85.019061519999994</v>
      </c>
      <c r="Z21" s="3">
        <v>-3.2809384760000002</v>
      </c>
    </row>
    <row r="22" spans="1:26" x14ac:dyDescent="0.2">
      <c r="B22" s="2" t="s">
        <v>21</v>
      </c>
      <c r="C22" s="2">
        <v>6.1</v>
      </c>
      <c r="D22" s="2">
        <v>6.2900116429999997</v>
      </c>
      <c r="E22" s="3">
        <v>3.1149449690000002</v>
      </c>
      <c r="F22" s="2">
        <v>3.2</v>
      </c>
      <c r="G22" s="2">
        <v>3.16832169</v>
      </c>
      <c r="H22" s="3">
        <v>-0.98994718100000001</v>
      </c>
      <c r="I22" s="2">
        <v>9.3000000000000007</v>
      </c>
      <c r="J22" s="2">
        <v>9.4583333330000006</v>
      </c>
      <c r="K22" s="3">
        <v>1.7025089609999999</v>
      </c>
      <c r="L22" s="2">
        <v>43.9</v>
      </c>
      <c r="M22" s="2">
        <v>43.088351189999997</v>
      </c>
      <c r="N22" s="3">
        <v>-1.848858337</v>
      </c>
      <c r="O22" s="2">
        <v>25.4</v>
      </c>
      <c r="P22" s="2">
        <v>23.541666670000001</v>
      </c>
      <c r="Q22" s="3">
        <v>-7.3162729659999997</v>
      </c>
      <c r="R22" s="2">
        <v>46</v>
      </c>
      <c r="S22" s="2">
        <v>55.375531359999997</v>
      </c>
      <c r="T22" s="3">
        <v>20.381589900000002</v>
      </c>
      <c r="U22" s="2">
        <v>45.2</v>
      </c>
      <c r="V22" s="2">
        <v>33.700693919999999</v>
      </c>
      <c r="W22" s="3">
        <v>-11.49930608</v>
      </c>
      <c r="X22" s="2">
        <v>73.599999999999994</v>
      </c>
      <c r="Y22" s="2">
        <v>66.32656996</v>
      </c>
      <c r="Z22" s="3">
        <v>-7.2734300410000001</v>
      </c>
    </row>
    <row r="23" spans="1:26" x14ac:dyDescent="0.2">
      <c r="B23" s="2" t="s">
        <v>22</v>
      </c>
      <c r="C23" s="2">
        <v>6.1</v>
      </c>
      <c r="D23" s="2">
        <v>6.3002624469999997</v>
      </c>
      <c r="E23" s="3">
        <v>3.2829909320000001</v>
      </c>
      <c r="F23" s="2">
        <v>3.2</v>
      </c>
      <c r="G23" s="2">
        <v>3.0747375529999998</v>
      </c>
      <c r="H23" s="3">
        <v>-3.9144514639999999</v>
      </c>
      <c r="I23" s="2">
        <v>9.3000000000000007</v>
      </c>
      <c r="J23" s="2">
        <v>9.375</v>
      </c>
      <c r="K23" s="3">
        <v>0.80645161300000001</v>
      </c>
      <c r="L23" s="2">
        <v>53.1</v>
      </c>
      <c r="M23" s="2">
        <v>53.04124642</v>
      </c>
      <c r="N23" s="3">
        <v>-0.110647039</v>
      </c>
      <c r="O23" s="2">
        <v>34</v>
      </c>
      <c r="P23" s="2">
        <v>36.875</v>
      </c>
      <c r="Q23" s="3">
        <v>8.4558823529999998</v>
      </c>
      <c r="R23" s="2">
        <v>48.8</v>
      </c>
      <c r="S23" s="2">
        <v>55.68352969</v>
      </c>
      <c r="T23" s="3">
        <v>14.10559362</v>
      </c>
      <c r="U23" s="2">
        <v>0</v>
      </c>
      <c r="V23" s="2">
        <v>0</v>
      </c>
      <c r="W23" s="3">
        <v>0</v>
      </c>
      <c r="X23" s="2">
        <v>0</v>
      </c>
      <c r="Y23" s="2">
        <v>0</v>
      </c>
      <c r="Z23" s="3">
        <v>0</v>
      </c>
    </row>
    <row r="24" spans="1:26" x14ac:dyDescent="0.2">
      <c r="A24" s="1" t="s">
        <v>328</v>
      </c>
      <c r="B24" t="s">
        <v>1</v>
      </c>
      <c r="C24">
        <v>8.1999999999999993</v>
      </c>
      <c r="D24">
        <v>8.5147493774901228</v>
      </c>
      <c r="E24" s="4">
        <v>3.8384070425624826</v>
      </c>
      <c r="F24">
        <v>4.5</v>
      </c>
      <c r="G24">
        <v>4.1102506225098772</v>
      </c>
      <c r="H24" s="4">
        <v>-8.6610972775582855</v>
      </c>
      <c r="I24">
        <v>12.7</v>
      </c>
      <c r="J24">
        <v>12.625</v>
      </c>
      <c r="K24" s="4">
        <v>-0.5905511811023566</v>
      </c>
      <c r="L24">
        <v>34.9</v>
      </c>
      <c r="M24">
        <v>34.853353020331774</v>
      </c>
      <c r="N24" s="4">
        <v>-0.13365896753072989</v>
      </c>
      <c r="O24">
        <v>32.1</v>
      </c>
      <c r="P24">
        <v>35.541666666666664</v>
      </c>
      <c r="Q24" s="4">
        <v>10.721703011422626</v>
      </c>
      <c r="R24">
        <v>23.6</v>
      </c>
      <c r="S24">
        <v>49.161227410796535</v>
      </c>
      <c r="T24" s="4">
        <v>108.31028563896837</v>
      </c>
      <c r="U24">
        <v>0</v>
      </c>
      <c r="V24">
        <v>0</v>
      </c>
      <c r="W24" s="4">
        <v>0</v>
      </c>
      <c r="X24">
        <v>0</v>
      </c>
      <c r="Y24">
        <v>0</v>
      </c>
      <c r="Z24" s="4">
        <v>0</v>
      </c>
    </row>
    <row r="25" spans="1:26" x14ac:dyDescent="0.2">
      <c r="B25" t="s">
        <v>2</v>
      </c>
      <c r="C25">
        <v>8.1999999999999993</v>
      </c>
      <c r="D25">
        <v>8.656100312417994</v>
      </c>
      <c r="E25" s="4">
        <v>5.5621989319267655</v>
      </c>
      <c r="F25">
        <v>6.5</v>
      </c>
      <c r="G25">
        <v>5.468899687582006</v>
      </c>
      <c r="H25" s="4">
        <v>-15.8630817295076</v>
      </c>
      <c r="I25">
        <v>14.7</v>
      </c>
      <c r="J25">
        <v>14.125</v>
      </c>
      <c r="K25" s="4">
        <v>-3.9115646258503354</v>
      </c>
      <c r="L25">
        <v>32</v>
      </c>
      <c r="M25">
        <v>31.963245051410844</v>
      </c>
      <c r="N25" s="4">
        <v>-0.11485921434111201</v>
      </c>
      <c r="O25">
        <v>31.2</v>
      </c>
      <c r="P25">
        <v>35.375</v>
      </c>
      <c r="Q25" s="4">
        <v>13.381410256410259</v>
      </c>
      <c r="R25">
        <v>39.299999999999997</v>
      </c>
      <c r="S25">
        <v>44.274968682586469</v>
      </c>
      <c r="T25" s="4">
        <v>12.658953390805273</v>
      </c>
      <c r="U25">
        <v>0</v>
      </c>
      <c r="V25">
        <v>0</v>
      </c>
      <c r="W25" s="4">
        <v>0</v>
      </c>
      <c r="X25">
        <v>0</v>
      </c>
      <c r="Y25">
        <v>0</v>
      </c>
      <c r="Z25" s="4">
        <v>0</v>
      </c>
    </row>
    <row r="26" spans="1:26" x14ac:dyDescent="0.2">
      <c r="B26" t="s">
        <v>3</v>
      </c>
      <c r="C26">
        <v>10.8</v>
      </c>
      <c r="D26">
        <v>11.083100680188739</v>
      </c>
      <c r="E26" s="4">
        <v>2.62130259434017</v>
      </c>
      <c r="F26">
        <v>2.6</v>
      </c>
      <c r="G26">
        <v>2.7918993198112609</v>
      </c>
      <c r="H26" s="4">
        <v>7.3807430696638781</v>
      </c>
      <c r="I26">
        <v>13.4</v>
      </c>
      <c r="J26">
        <v>13.875</v>
      </c>
      <c r="K26" s="4">
        <v>3.5447761194029823</v>
      </c>
      <c r="L26">
        <v>68.7</v>
      </c>
      <c r="M26">
        <v>69.121661940737539</v>
      </c>
      <c r="N26" s="4">
        <v>0.61377283950150818</v>
      </c>
      <c r="O26">
        <v>39.9</v>
      </c>
      <c r="P26">
        <v>39.958333333333329</v>
      </c>
      <c r="Q26" s="4">
        <v>0.14619883040934842</v>
      </c>
      <c r="R26">
        <v>53.6</v>
      </c>
      <c r="S26">
        <v>52.223668471887571</v>
      </c>
      <c r="T26" s="4">
        <v>-2.5677827017022961</v>
      </c>
      <c r="U26">
        <v>0</v>
      </c>
      <c r="V26">
        <v>0</v>
      </c>
      <c r="W26" s="4">
        <v>0</v>
      </c>
      <c r="X26">
        <v>0</v>
      </c>
      <c r="Y26">
        <v>0</v>
      </c>
      <c r="Z26" s="4">
        <v>0</v>
      </c>
    </row>
    <row r="27" spans="1:26" x14ac:dyDescent="0.2">
      <c r="B27" t="s">
        <v>4</v>
      </c>
      <c r="C27">
        <v>7.3</v>
      </c>
      <c r="D27">
        <v>7.5904216968560103</v>
      </c>
      <c r="E27" s="4">
        <v>3.9783794089864455</v>
      </c>
      <c r="F27">
        <v>2.8</v>
      </c>
      <c r="G27">
        <v>2.7012449698106558</v>
      </c>
      <c r="H27" s="4">
        <v>-3.5269653639051457</v>
      </c>
      <c r="I27">
        <v>10.1</v>
      </c>
      <c r="J27">
        <v>10.291666666666666</v>
      </c>
      <c r="K27" s="4">
        <v>1.8976897689768952</v>
      </c>
      <c r="L27">
        <v>43.4</v>
      </c>
      <c r="M27">
        <v>43.933897468368073</v>
      </c>
      <c r="N27" s="4">
        <v>1.2301784985439508</v>
      </c>
      <c r="O27">
        <v>37.799999999999997</v>
      </c>
      <c r="P27">
        <v>43.208333333333329</v>
      </c>
      <c r="Q27" s="4">
        <v>14.307760141093469</v>
      </c>
      <c r="R27">
        <v>53.5</v>
      </c>
      <c r="S27">
        <v>56.96970160677531</v>
      </c>
      <c r="T27" s="4">
        <v>6.4854235640659992</v>
      </c>
      <c r="U27">
        <v>0</v>
      </c>
      <c r="V27">
        <v>0</v>
      </c>
      <c r="W27" s="4">
        <v>0</v>
      </c>
      <c r="X27">
        <v>0</v>
      </c>
      <c r="Y27">
        <v>0</v>
      </c>
      <c r="Z27" s="4">
        <v>0</v>
      </c>
    </row>
    <row r="28" spans="1:26" x14ac:dyDescent="0.2">
      <c r="B28" t="s">
        <v>5</v>
      </c>
      <c r="C28">
        <v>7.6</v>
      </c>
      <c r="D28">
        <v>7.8914540343907689</v>
      </c>
      <c r="E28" s="4">
        <v>3.8349215051417</v>
      </c>
      <c r="F28">
        <v>2.9</v>
      </c>
      <c r="G28">
        <v>2.9002126322758972</v>
      </c>
      <c r="H28" s="4">
        <v>7.3321474447343238E-3</v>
      </c>
      <c r="I28">
        <v>10.5</v>
      </c>
      <c r="J28">
        <v>10.791666666666666</v>
      </c>
      <c r="K28" s="4">
        <v>2.7777777777777719</v>
      </c>
      <c r="L28">
        <v>47.5</v>
      </c>
      <c r="M28">
        <v>48.142547664333371</v>
      </c>
      <c r="N28" s="4">
        <v>1.3527319249123599</v>
      </c>
      <c r="O28">
        <v>39.1</v>
      </c>
      <c r="P28">
        <v>45.208333333333336</v>
      </c>
      <c r="Q28" s="4">
        <v>15.622335890878091</v>
      </c>
      <c r="R28">
        <v>52.9</v>
      </c>
      <c r="S28">
        <v>54.602216565218356</v>
      </c>
      <c r="T28" s="4">
        <v>3.2178006903938705</v>
      </c>
      <c r="U28">
        <v>0</v>
      </c>
      <c r="V28">
        <v>0</v>
      </c>
      <c r="W28" s="4">
        <v>0</v>
      </c>
      <c r="X28">
        <v>0</v>
      </c>
      <c r="Y28">
        <v>0</v>
      </c>
      <c r="Z28" s="4">
        <v>0</v>
      </c>
    </row>
    <row r="29" spans="1:26" x14ac:dyDescent="0.2">
      <c r="B29" t="s">
        <v>6</v>
      </c>
      <c r="C29">
        <v>7.2</v>
      </c>
      <c r="D29">
        <v>7.5513403133221297</v>
      </c>
      <c r="E29" s="4">
        <v>4.8797265739184654</v>
      </c>
      <c r="F29">
        <v>2.5</v>
      </c>
      <c r="G29">
        <v>2.2403263533445363</v>
      </c>
      <c r="H29" s="4">
        <v>-10.386945866218547</v>
      </c>
      <c r="I29">
        <v>9.6999999999999993</v>
      </c>
      <c r="J29">
        <v>9.7916666666666661</v>
      </c>
      <c r="K29" s="4">
        <v>0.9450171821305855</v>
      </c>
      <c r="L29">
        <v>39.200000000000003</v>
      </c>
      <c r="M29">
        <v>38.60155537811206</v>
      </c>
      <c r="N29" s="4">
        <v>-1.5266444435916904</v>
      </c>
      <c r="O29">
        <v>26.1</v>
      </c>
      <c r="P29">
        <v>26.125</v>
      </c>
      <c r="Q29" s="4">
        <v>9.5785440613021369E-2</v>
      </c>
      <c r="R29">
        <v>55.8</v>
      </c>
      <c r="S29">
        <v>60.180523136562307</v>
      </c>
      <c r="T29" s="4">
        <v>7.8503998863123838</v>
      </c>
      <c r="U29">
        <v>37.799999999999997</v>
      </c>
      <c r="V29">
        <v>33.30936131970978</v>
      </c>
      <c r="W29" s="4">
        <v>-4.4906386802902176</v>
      </c>
      <c r="X29">
        <v>69.5</v>
      </c>
      <c r="Y29">
        <v>65.649505838873807</v>
      </c>
      <c r="Z29" s="4">
        <v>-3.8504941611261927</v>
      </c>
    </row>
    <row r="30" spans="1:26" x14ac:dyDescent="0.2">
      <c r="B30" t="s">
        <v>7</v>
      </c>
      <c r="C30">
        <v>7.4</v>
      </c>
      <c r="D30">
        <v>7.8696579173501995</v>
      </c>
      <c r="E30" s="4">
        <v>6.3467286128405282</v>
      </c>
      <c r="F30">
        <v>3.2</v>
      </c>
      <c r="G30">
        <v>2.8386754159831327</v>
      </c>
      <c r="H30" s="4">
        <v>-11.29139325052711</v>
      </c>
      <c r="I30">
        <v>10.600000000000001</v>
      </c>
      <c r="J30">
        <v>10.708333333333332</v>
      </c>
      <c r="K30" s="4">
        <v>1.0220125786163274</v>
      </c>
      <c r="L30">
        <v>33.200000000000003</v>
      </c>
      <c r="M30">
        <v>32.690834255353515</v>
      </c>
      <c r="N30" s="4">
        <v>-1.5336317609833972</v>
      </c>
      <c r="O30">
        <v>23.8</v>
      </c>
      <c r="P30">
        <v>24.541666666666664</v>
      </c>
      <c r="Q30" s="4">
        <v>3.1162464985994265</v>
      </c>
      <c r="R30">
        <v>54.8</v>
      </c>
      <c r="S30">
        <v>57.891549274964433</v>
      </c>
      <c r="T30" s="4">
        <v>5.6415132754825477</v>
      </c>
      <c r="U30">
        <v>48.6</v>
      </c>
      <c r="V30">
        <v>45.275187865785817</v>
      </c>
      <c r="W30" s="4">
        <v>-3.3248121342141843</v>
      </c>
      <c r="X30">
        <v>75.099999999999994</v>
      </c>
      <c r="Y30">
        <v>72.156885538532634</v>
      </c>
      <c r="Z30" s="4">
        <v>-2.9431144614673599</v>
      </c>
    </row>
    <row r="31" spans="1:26" x14ac:dyDescent="0.2">
      <c r="B31" t="s">
        <v>8</v>
      </c>
      <c r="C31">
        <v>8</v>
      </c>
      <c r="D31">
        <v>8.3568014218006912</v>
      </c>
      <c r="E31" s="4">
        <v>4.4600177725086398</v>
      </c>
      <c r="F31">
        <v>3.8</v>
      </c>
      <c r="G31">
        <v>3.351531911532641</v>
      </c>
      <c r="H31" s="4">
        <v>-11.801791801772604</v>
      </c>
      <c r="I31">
        <v>11.8</v>
      </c>
      <c r="J31">
        <v>11.708333333333332</v>
      </c>
      <c r="K31" s="4">
        <v>-0.77683615819210639</v>
      </c>
      <c r="L31">
        <v>38.799999999999997</v>
      </c>
      <c r="M31">
        <v>38.720647758788324</v>
      </c>
      <c r="N31" s="4">
        <v>-0.20451608559709525</v>
      </c>
      <c r="O31">
        <v>34.6</v>
      </c>
      <c r="P31">
        <v>37.041666666666664</v>
      </c>
      <c r="Q31" s="4">
        <v>7.0568400770712802</v>
      </c>
      <c r="R31">
        <v>49.1</v>
      </c>
      <c r="S31">
        <v>52.360852218745485</v>
      </c>
      <c r="T31" s="4">
        <v>6.6412468813553645</v>
      </c>
      <c r="U31">
        <v>0</v>
      </c>
      <c r="V31">
        <v>0</v>
      </c>
      <c r="W31" s="4">
        <v>0</v>
      </c>
      <c r="X31">
        <v>0</v>
      </c>
      <c r="Y31">
        <v>0</v>
      </c>
      <c r="Z31" s="4">
        <v>0</v>
      </c>
    </row>
    <row r="32" spans="1:26" x14ac:dyDescent="0.2">
      <c r="B32" t="s">
        <v>9</v>
      </c>
      <c r="C32">
        <v>8.1999999999999993</v>
      </c>
      <c r="D32">
        <v>8.4794066049629322</v>
      </c>
      <c r="E32" s="4">
        <v>3.4073976214991823</v>
      </c>
      <c r="F32">
        <v>3.1</v>
      </c>
      <c r="G32">
        <v>3.0622600617037339</v>
      </c>
      <c r="H32" s="4">
        <v>-1.217417364395684</v>
      </c>
      <c r="I32">
        <v>11.299999999999999</v>
      </c>
      <c r="J32">
        <v>11.541666666666666</v>
      </c>
      <c r="K32" s="4">
        <v>2.138643067846612</v>
      </c>
      <c r="L32">
        <v>45.4</v>
      </c>
      <c r="M32">
        <v>45.96653559317221</v>
      </c>
      <c r="N32" s="4">
        <v>1.247875755885929</v>
      </c>
      <c r="O32">
        <v>36.200000000000003</v>
      </c>
      <c r="P32">
        <v>41.541666666666664</v>
      </c>
      <c r="Q32" s="4">
        <v>14.755985267034974</v>
      </c>
      <c r="R32">
        <v>27.5</v>
      </c>
      <c r="S32">
        <v>53.165691126631351</v>
      </c>
      <c r="T32" s="4">
        <v>93.329785915023095</v>
      </c>
      <c r="U32">
        <v>0</v>
      </c>
      <c r="V32">
        <v>0</v>
      </c>
      <c r="W32" s="4">
        <v>0</v>
      </c>
      <c r="X32">
        <v>0</v>
      </c>
      <c r="Y32">
        <v>0</v>
      </c>
      <c r="Z32" s="4">
        <v>0</v>
      </c>
    </row>
    <row r="33" spans="1:26" x14ac:dyDescent="0.2">
      <c r="B33" t="s">
        <v>10</v>
      </c>
      <c r="C33">
        <v>8.1</v>
      </c>
      <c r="D33">
        <v>8.4081749044604912</v>
      </c>
      <c r="E33" s="4">
        <v>3.8046284501295253</v>
      </c>
      <c r="F33">
        <v>3.1</v>
      </c>
      <c r="G33">
        <v>2.8834917622061749</v>
      </c>
      <c r="H33" s="4">
        <v>-6.9841367030266195</v>
      </c>
      <c r="I33">
        <v>11.2</v>
      </c>
      <c r="J33">
        <v>11.291666666666666</v>
      </c>
      <c r="K33" s="4">
        <v>0.81845238095238204</v>
      </c>
      <c r="L33">
        <v>44.4</v>
      </c>
      <c r="M33">
        <v>44.29064897415806</v>
      </c>
      <c r="N33" s="4">
        <v>-0.24628609423860037</v>
      </c>
      <c r="O33">
        <v>36.700000000000003</v>
      </c>
      <c r="P33">
        <v>39.458333333333329</v>
      </c>
      <c r="Q33" s="4">
        <v>7.5158946412352199</v>
      </c>
      <c r="R33">
        <v>52.6</v>
      </c>
      <c r="S33">
        <v>53.969297593668635</v>
      </c>
      <c r="T33" s="4">
        <v>2.6032273643890376</v>
      </c>
      <c r="U33">
        <v>0</v>
      </c>
      <c r="V33">
        <v>0</v>
      </c>
      <c r="W33" s="4">
        <v>0</v>
      </c>
      <c r="X33">
        <v>0</v>
      </c>
      <c r="Y33">
        <v>0</v>
      </c>
      <c r="Z33" s="4">
        <v>0</v>
      </c>
    </row>
    <row r="34" spans="1:26" x14ac:dyDescent="0.2">
      <c r="B34" t="s">
        <v>12</v>
      </c>
      <c r="C34">
        <v>7</v>
      </c>
      <c r="D34">
        <v>7.3994312511421434</v>
      </c>
      <c r="E34" s="4">
        <v>5.7061607306020488</v>
      </c>
      <c r="F34">
        <v>2.2000000000000002</v>
      </c>
      <c r="G34">
        <v>1.8089020821911888</v>
      </c>
      <c r="H34" s="4">
        <v>-17.7771780822187</v>
      </c>
      <c r="I34">
        <v>9.1999999999999993</v>
      </c>
      <c r="J34">
        <v>9.2083333333333321</v>
      </c>
      <c r="K34" s="4">
        <v>9.0579710144922401E-2</v>
      </c>
      <c r="L34">
        <v>47.7</v>
      </c>
      <c r="M34">
        <v>46.935453915658307</v>
      </c>
      <c r="N34" s="4">
        <v>-1.602821979751982</v>
      </c>
      <c r="O34">
        <v>33.799999999999997</v>
      </c>
      <c r="P34">
        <v>33.625</v>
      </c>
      <c r="Q34" s="4">
        <v>-0.51775147928993248</v>
      </c>
      <c r="R34">
        <v>59.7</v>
      </c>
      <c r="S34">
        <v>63.58857089955837</v>
      </c>
      <c r="T34" s="4">
        <v>6.5135190947376325</v>
      </c>
      <c r="U34">
        <v>4.4000000000000004</v>
      </c>
      <c r="V34">
        <v>1.8420676062574017</v>
      </c>
      <c r="W34" s="4">
        <v>-2.5579323937425986</v>
      </c>
      <c r="X34">
        <v>36</v>
      </c>
      <c r="Y34">
        <v>28.629183991351439</v>
      </c>
      <c r="Z34" s="4">
        <v>-7.3708160086485606</v>
      </c>
    </row>
    <row r="35" spans="1:26" x14ac:dyDescent="0.2">
      <c r="B35" t="s">
        <v>13</v>
      </c>
      <c r="C35">
        <v>7.4</v>
      </c>
      <c r="D35">
        <v>7.7037998235971337</v>
      </c>
      <c r="E35" s="4">
        <v>4.1054030215828829</v>
      </c>
      <c r="F35">
        <v>2.7</v>
      </c>
      <c r="G35">
        <v>2.5045335097361985</v>
      </c>
      <c r="H35" s="4">
        <v>-7.239499639400063</v>
      </c>
      <c r="I35">
        <v>10.100000000000001</v>
      </c>
      <c r="J35">
        <v>10.208333333333332</v>
      </c>
      <c r="K35" s="4">
        <v>1.0726072607260466</v>
      </c>
      <c r="L35">
        <v>36.299999999999997</v>
      </c>
      <c r="M35">
        <v>35.736868656026971</v>
      </c>
      <c r="N35" s="4">
        <v>-1.5513260164546181</v>
      </c>
      <c r="O35">
        <v>24.8</v>
      </c>
      <c r="P35">
        <v>23.458333333333332</v>
      </c>
      <c r="Q35" s="4">
        <v>-5.4099462365591471</v>
      </c>
      <c r="R35">
        <v>51.2</v>
      </c>
      <c r="S35">
        <v>58.57939232662023</v>
      </c>
      <c r="T35" s="4">
        <v>14.412875637930131</v>
      </c>
      <c r="U35">
        <v>56.6</v>
      </c>
      <c r="V35">
        <v>46.069686300758626</v>
      </c>
      <c r="W35" s="4">
        <v>-10.530313699241376</v>
      </c>
      <c r="X35">
        <v>79.099999999999994</v>
      </c>
      <c r="Y35">
        <v>72.69518594938603</v>
      </c>
      <c r="Z35" s="4">
        <v>-6.4048140506139646</v>
      </c>
    </row>
    <row r="36" spans="1:26" x14ac:dyDescent="0.2">
      <c r="B36" t="s">
        <v>14</v>
      </c>
      <c r="C36">
        <v>7.3</v>
      </c>
      <c r="D36">
        <v>7.5833796690456143</v>
      </c>
      <c r="E36" s="4">
        <v>3.8819132745974594</v>
      </c>
      <c r="F36">
        <v>2.2000000000000002</v>
      </c>
      <c r="G36">
        <v>2.0416203309543857</v>
      </c>
      <c r="H36" s="4">
        <v>-7.1990758657097507</v>
      </c>
      <c r="I36">
        <v>9.5</v>
      </c>
      <c r="J36">
        <v>9.625</v>
      </c>
      <c r="K36" s="4">
        <v>1.3157894736842104</v>
      </c>
      <c r="L36">
        <v>50</v>
      </c>
      <c r="M36">
        <v>50.125852348802539</v>
      </c>
      <c r="N36" s="4">
        <v>0.25170469760507785</v>
      </c>
      <c r="O36">
        <v>35.5</v>
      </c>
      <c r="P36">
        <v>38.875</v>
      </c>
      <c r="Q36" s="4">
        <v>9.5070422535211261</v>
      </c>
      <c r="R36">
        <v>57.9</v>
      </c>
      <c r="S36">
        <v>61.70878951332854</v>
      </c>
      <c r="T36" s="4">
        <v>6.5782202302738195</v>
      </c>
      <c r="U36">
        <v>0</v>
      </c>
      <c r="V36">
        <v>0</v>
      </c>
      <c r="W36" s="4">
        <v>0</v>
      </c>
      <c r="X36">
        <v>0</v>
      </c>
      <c r="Y36">
        <v>0</v>
      </c>
      <c r="Z36" s="4">
        <v>0</v>
      </c>
    </row>
    <row r="37" spans="1:26" x14ac:dyDescent="0.2">
      <c r="B37" t="s">
        <v>15</v>
      </c>
      <c r="C37">
        <v>10.8</v>
      </c>
      <c r="D37">
        <v>11.043710522648684</v>
      </c>
      <c r="E37" s="4">
        <v>2.2565789134137364</v>
      </c>
      <c r="F37">
        <v>3.1</v>
      </c>
      <c r="G37">
        <v>2.9979561440179818</v>
      </c>
      <c r="H37" s="4">
        <v>-3.2917372897425246</v>
      </c>
      <c r="I37">
        <v>13.9</v>
      </c>
      <c r="J37">
        <v>14.041666666666666</v>
      </c>
      <c r="K37" s="4">
        <v>1.0191846522781707</v>
      </c>
      <c r="L37">
        <v>58.9</v>
      </c>
      <c r="M37">
        <v>58.789913143209461</v>
      </c>
      <c r="N37" s="4">
        <v>-0.18690468045931746</v>
      </c>
      <c r="O37">
        <v>37.799999999999997</v>
      </c>
      <c r="P37">
        <v>39.875</v>
      </c>
      <c r="Q37" s="4">
        <v>5.4894179894179977</v>
      </c>
      <c r="R37">
        <v>48.4</v>
      </c>
      <c r="S37">
        <v>50.510031537329525</v>
      </c>
      <c r="T37" s="4">
        <v>4.3595692920031528</v>
      </c>
      <c r="U37">
        <v>0</v>
      </c>
      <c r="V37">
        <v>0</v>
      </c>
      <c r="W37" s="4">
        <v>0</v>
      </c>
      <c r="X37">
        <v>0</v>
      </c>
      <c r="Y37">
        <v>0</v>
      </c>
      <c r="Z37" s="4">
        <v>0</v>
      </c>
    </row>
    <row r="38" spans="1:26" x14ac:dyDescent="0.2">
      <c r="B38" t="s">
        <v>16</v>
      </c>
      <c r="C38">
        <v>6</v>
      </c>
      <c r="D38">
        <v>6.2987200656768572</v>
      </c>
      <c r="E38" s="4">
        <v>4.9786677612809527</v>
      </c>
      <c r="F38">
        <v>3.2</v>
      </c>
      <c r="G38">
        <v>2.9929466009898089</v>
      </c>
      <c r="H38" s="4">
        <v>-6.4704187190684772</v>
      </c>
      <c r="I38">
        <v>9.1999999999999993</v>
      </c>
      <c r="J38">
        <v>9.2916666666666661</v>
      </c>
      <c r="K38" s="4">
        <v>0.99637681159420421</v>
      </c>
      <c r="L38">
        <v>32.5</v>
      </c>
      <c r="M38">
        <v>32.062396093600711</v>
      </c>
      <c r="N38" s="4">
        <v>-1.3464735581516589</v>
      </c>
      <c r="O38">
        <v>19.2</v>
      </c>
      <c r="P38">
        <v>20.125</v>
      </c>
      <c r="Q38" s="4">
        <v>4.8177083333333375</v>
      </c>
      <c r="R38">
        <v>49</v>
      </c>
      <c r="S38">
        <v>58.482287283429471</v>
      </c>
      <c r="T38" s="4">
        <v>19.351606700876474</v>
      </c>
      <c r="U38">
        <v>60.6</v>
      </c>
      <c r="V38">
        <v>57.084434422836551</v>
      </c>
      <c r="W38" s="4">
        <v>-3.51556557716345</v>
      </c>
      <c r="X38">
        <v>80.900000000000006</v>
      </c>
      <c r="Y38">
        <v>78.126575484627935</v>
      </c>
      <c r="Z38" s="4">
        <v>-2.7734245153720707</v>
      </c>
    </row>
    <row r="39" spans="1:26" x14ac:dyDescent="0.2">
      <c r="B39" t="s">
        <v>17</v>
      </c>
      <c r="C39">
        <v>8.1999999999999993</v>
      </c>
      <c r="D39">
        <v>8.4113677232700983</v>
      </c>
      <c r="E39" s="4">
        <v>2.5776551618304762</v>
      </c>
      <c r="F39">
        <v>2.5</v>
      </c>
      <c r="G39">
        <v>2.3802989433965678</v>
      </c>
      <c r="H39" s="4">
        <v>-4.7880422641372888</v>
      </c>
      <c r="I39">
        <v>10.7</v>
      </c>
      <c r="J39">
        <v>10.791666666666666</v>
      </c>
      <c r="K39" s="4">
        <v>0.85669781931464284</v>
      </c>
      <c r="L39">
        <v>48.5</v>
      </c>
      <c r="M39">
        <v>49.013782449040733</v>
      </c>
      <c r="N39" s="4">
        <v>1.0593452557540877</v>
      </c>
      <c r="O39">
        <v>33.700000000000003</v>
      </c>
      <c r="P39">
        <v>38.375</v>
      </c>
      <c r="Q39" s="4">
        <v>13.87240356083085</v>
      </c>
      <c r="R39">
        <v>48.9</v>
      </c>
      <c r="S39">
        <v>57.873543914785209</v>
      </c>
      <c r="T39" s="4">
        <v>18.350805551707996</v>
      </c>
      <c r="U39">
        <v>0</v>
      </c>
      <c r="V39">
        <v>0</v>
      </c>
      <c r="W39" s="4">
        <v>0</v>
      </c>
      <c r="X39">
        <v>0</v>
      </c>
      <c r="Y39">
        <v>0</v>
      </c>
      <c r="Z39" s="4">
        <v>0</v>
      </c>
    </row>
    <row r="40" spans="1:26" x14ac:dyDescent="0.2">
      <c r="B40" t="s">
        <v>18</v>
      </c>
      <c r="C40">
        <v>6.9</v>
      </c>
      <c r="D40">
        <v>7.363781079329252</v>
      </c>
      <c r="E40" s="4">
        <v>6.7214649178152408</v>
      </c>
      <c r="F40">
        <v>3.4</v>
      </c>
      <c r="G40">
        <v>3.0945522540040802</v>
      </c>
      <c r="H40" s="4">
        <v>-8.9837572351741102</v>
      </c>
      <c r="I40">
        <v>10.3</v>
      </c>
      <c r="J40">
        <v>10.458333333333332</v>
      </c>
      <c r="K40" s="4">
        <v>1.537216828478946</v>
      </c>
      <c r="L40">
        <v>34.5</v>
      </c>
      <c r="M40">
        <v>33.979354158026737</v>
      </c>
      <c r="N40" s="4">
        <v>-1.5091183825311962</v>
      </c>
      <c r="O40">
        <v>25</v>
      </c>
      <c r="P40">
        <v>25.875</v>
      </c>
      <c r="Q40" s="4">
        <v>3.5000000000000004</v>
      </c>
      <c r="R40">
        <v>53.1</v>
      </c>
      <c r="S40">
        <v>57.701996483928838</v>
      </c>
      <c r="T40" s="4">
        <v>8.6666600450637219</v>
      </c>
      <c r="U40">
        <v>24.1</v>
      </c>
      <c r="V40">
        <v>22.731101660779402</v>
      </c>
      <c r="W40" s="4">
        <v>-1.3688983392205998</v>
      </c>
      <c r="X40">
        <v>59.7</v>
      </c>
      <c r="Y40">
        <v>57.567013815428666</v>
      </c>
      <c r="Z40" s="4">
        <v>-2.1329861845713367</v>
      </c>
    </row>
    <row r="41" spans="1:26" x14ac:dyDescent="0.2">
      <c r="B41" t="s">
        <v>19</v>
      </c>
      <c r="C41">
        <v>7.2</v>
      </c>
      <c r="D41">
        <v>7.6080595368615933</v>
      </c>
      <c r="E41" s="4">
        <v>5.6674935675221265</v>
      </c>
      <c r="F41">
        <v>3.5</v>
      </c>
      <c r="G41">
        <v>3.1002737964717388</v>
      </c>
      <c r="H41" s="4">
        <v>-11.420748672236034</v>
      </c>
      <c r="I41">
        <v>10.7</v>
      </c>
      <c r="J41">
        <v>10.708333333333332</v>
      </c>
      <c r="K41" s="4">
        <v>7.7881619937690272E-2</v>
      </c>
      <c r="L41">
        <v>36.700000000000003</v>
      </c>
      <c r="M41">
        <v>36.993515534576325</v>
      </c>
      <c r="N41" s="4">
        <v>0.79976984898180392</v>
      </c>
      <c r="O41">
        <v>33.200000000000003</v>
      </c>
      <c r="P41">
        <v>38.625</v>
      </c>
      <c r="Q41" s="4">
        <v>16.34036144578312</v>
      </c>
      <c r="R41">
        <v>53.3</v>
      </c>
      <c r="S41">
        <v>55.457481834533596</v>
      </c>
      <c r="T41" s="4">
        <v>4.047808319950466</v>
      </c>
      <c r="U41">
        <v>0</v>
      </c>
      <c r="V41">
        <v>0</v>
      </c>
      <c r="W41" s="4">
        <v>0</v>
      </c>
      <c r="X41">
        <v>0</v>
      </c>
      <c r="Y41">
        <v>0</v>
      </c>
      <c r="Z41" s="4">
        <v>0</v>
      </c>
    </row>
    <row r="42" spans="1:26" x14ac:dyDescent="0.2">
      <c r="B42" t="s">
        <v>20</v>
      </c>
      <c r="C42">
        <v>7.9</v>
      </c>
      <c r="D42">
        <v>8.2362019123936889</v>
      </c>
      <c r="E42" s="4">
        <v>4.255720410046691</v>
      </c>
      <c r="F42">
        <v>3.2</v>
      </c>
      <c r="G42">
        <v>3.0554647542729771</v>
      </c>
      <c r="H42" s="4">
        <v>-4.51672642896947</v>
      </c>
      <c r="I42">
        <v>11.100000000000001</v>
      </c>
      <c r="J42">
        <v>11.291666666666666</v>
      </c>
      <c r="K42" s="4">
        <v>1.7267267267267083</v>
      </c>
      <c r="L42">
        <v>42.5</v>
      </c>
      <c r="M42">
        <v>42.47493619549212</v>
      </c>
      <c r="N42" s="4">
        <v>-5.8973657665600351E-2</v>
      </c>
      <c r="O42">
        <v>34.6</v>
      </c>
      <c r="P42">
        <v>38.375</v>
      </c>
      <c r="Q42" s="4">
        <v>10.910404624277453</v>
      </c>
      <c r="R42">
        <v>48.1</v>
      </c>
      <c r="S42">
        <v>53.391206249244412</v>
      </c>
      <c r="T42" s="4">
        <v>11.000428792607922</v>
      </c>
      <c r="U42">
        <v>0</v>
      </c>
      <c r="V42">
        <v>0</v>
      </c>
      <c r="W42" s="4">
        <v>0</v>
      </c>
      <c r="X42">
        <v>0</v>
      </c>
      <c r="Y42">
        <v>0</v>
      </c>
      <c r="Z42" s="4">
        <v>0</v>
      </c>
    </row>
    <row r="43" spans="1:26" x14ac:dyDescent="0.2">
      <c r="B43" t="s">
        <v>21</v>
      </c>
      <c r="C43">
        <v>7</v>
      </c>
      <c r="D43">
        <v>7.4460346564880115</v>
      </c>
      <c r="E43" s="4">
        <v>6.3719236641144512</v>
      </c>
      <c r="F43">
        <v>3</v>
      </c>
      <c r="G43">
        <v>2.5956320101786545</v>
      </c>
      <c r="H43" s="4">
        <v>-13.478932994044849</v>
      </c>
      <c r="I43">
        <v>10</v>
      </c>
      <c r="J43">
        <v>10.041666666666666</v>
      </c>
      <c r="K43" s="4">
        <v>0.41666666666666075</v>
      </c>
      <c r="L43">
        <v>37.299999999999997</v>
      </c>
      <c r="M43">
        <v>36.753848476475852</v>
      </c>
      <c r="N43" s="4">
        <v>-1.4642131997966354</v>
      </c>
      <c r="O43">
        <v>28.2</v>
      </c>
      <c r="P43">
        <v>29.041666666666664</v>
      </c>
      <c r="Q43" s="4">
        <v>2.9846335697399469</v>
      </c>
      <c r="R43">
        <v>55.5</v>
      </c>
      <c r="S43">
        <v>59.228309278147982</v>
      </c>
      <c r="T43" s="4">
        <v>6.7176743750414092</v>
      </c>
      <c r="U43">
        <v>16.100000000000001</v>
      </c>
      <c r="V43">
        <v>14.958065087973253</v>
      </c>
      <c r="W43" s="4">
        <v>-1.1419349120267483</v>
      </c>
      <c r="X43">
        <v>56.3</v>
      </c>
      <c r="Y43">
        <v>54.134243131812518</v>
      </c>
      <c r="Z43" s="4">
        <v>-2.1657568681874793</v>
      </c>
    </row>
    <row r="44" spans="1:26" x14ac:dyDescent="0.2">
      <c r="B44" t="s">
        <v>22</v>
      </c>
      <c r="C44">
        <v>7.4</v>
      </c>
      <c r="D44">
        <v>7.7449629790641534</v>
      </c>
      <c r="E44" s="4">
        <v>4.6616618792453117</v>
      </c>
      <c r="F44">
        <v>2.2999999999999998</v>
      </c>
      <c r="G44">
        <v>2.0467036876025126</v>
      </c>
      <c r="H44" s="4">
        <v>-11.012883147716835</v>
      </c>
      <c r="I44">
        <v>9.6999999999999993</v>
      </c>
      <c r="J44">
        <v>9.7916666666666661</v>
      </c>
      <c r="K44" s="4">
        <v>0.9450171821305855</v>
      </c>
      <c r="L44">
        <v>37.799999999999997</v>
      </c>
      <c r="M44">
        <v>37.185769842145788</v>
      </c>
      <c r="N44" s="4">
        <v>-1.6249475075508173</v>
      </c>
      <c r="O44">
        <v>25.7</v>
      </c>
      <c r="P44">
        <v>24.791666666666664</v>
      </c>
      <c r="Q44" s="4">
        <v>-3.5343709468223157</v>
      </c>
      <c r="R44">
        <v>55.7</v>
      </c>
      <c r="S44">
        <v>62.022553445882522</v>
      </c>
      <c r="T44" s="4">
        <v>11.351083385785492</v>
      </c>
      <c r="U44">
        <v>47.4</v>
      </c>
      <c r="V44">
        <v>38.986181852630061</v>
      </c>
      <c r="W44" s="4">
        <v>-8.4138181473699376</v>
      </c>
      <c r="X44">
        <v>74.400000000000006</v>
      </c>
      <c r="Y44">
        <v>68.864362274416251</v>
      </c>
      <c r="Z44" s="4">
        <v>-5.5356377255837543</v>
      </c>
    </row>
    <row r="45" spans="1:26" x14ac:dyDescent="0.2">
      <c r="B45" t="s">
        <v>47</v>
      </c>
      <c r="C45">
        <v>8.4</v>
      </c>
      <c r="D45">
        <v>8.7426273492812641</v>
      </c>
      <c r="E45" s="4">
        <v>4.0788970152531387</v>
      </c>
      <c r="F45">
        <v>4.0999999999999996</v>
      </c>
      <c r="G45">
        <v>3.8823726507187359</v>
      </c>
      <c r="H45" s="4">
        <v>-5.3079841288113103</v>
      </c>
      <c r="I45">
        <v>12.5</v>
      </c>
      <c r="J45">
        <v>12.625</v>
      </c>
      <c r="K45" s="4">
        <v>1</v>
      </c>
      <c r="L45">
        <v>39.799999999999997</v>
      </c>
      <c r="M45">
        <v>39.726481984034343</v>
      </c>
      <c r="N45" s="4">
        <v>-0.18471863307953182</v>
      </c>
      <c r="O45">
        <v>36.6</v>
      </c>
      <c r="P45">
        <v>39.958333333333329</v>
      </c>
      <c r="Q45" s="4">
        <v>9.1757741347905117</v>
      </c>
      <c r="R45">
        <v>34.200000000000003</v>
      </c>
      <c r="S45">
        <v>48.941353262260137</v>
      </c>
      <c r="T45" s="4">
        <v>43.103372111871735</v>
      </c>
      <c r="U45">
        <v>0</v>
      </c>
      <c r="V45">
        <v>0</v>
      </c>
      <c r="W45" s="4">
        <v>0</v>
      </c>
      <c r="X45">
        <v>0</v>
      </c>
      <c r="Y45">
        <v>0</v>
      </c>
      <c r="Z45" s="4">
        <v>0</v>
      </c>
    </row>
    <row r="46" spans="1:26" x14ac:dyDescent="0.2">
      <c r="A46" s="1" t="s">
        <v>329</v>
      </c>
      <c r="B46" t="s">
        <v>1</v>
      </c>
      <c r="C46">
        <v>3.3</v>
      </c>
      <c r="D46">
        <v>3.7774135411773186</v>
      </c>
      <c r="E46" s="4">
        <v>14.4670770053733</v>
      </c>
      <c r="F46">
        <v>3</v>
      </c>
      <c r="G46">
        <v>2.5142531254893474</v>
      </c>
      <c r="H46" s="4">
        <v>-16.191562483688418</v>
      </c>
      <c r="I46">
        <v>6.3</v>
      </c>
      <c r="J46">
        <v>6.2916666666666661</v>
      </c>
      <c r="K46" s="4">
        <v>-0.13227513227513887</v>
      </c>
      <c r="L46">
        <v>48</v>
      </c>
      <c r="M46">
        <v>48.013288328192303</v>
      </c>
      <c r="N46" s="4">
        <v>2.7684017067297617E-2</v>
      </c>
      <c r="O46">
        <v>30.6</v>
      </c>
      <c r="P46">
        <v>33.125</v>
      </c>
      <c r="Q46" s="4">
        <v>8.2516339869281001</v>
      </c>
      <c r="R46">
        <v>64.3</v>
      </c>
      <c r="S46">
        <v>64.372422244918695</v>
      </c>
      <c r="T46" s="4">
        <v>0.11263179614105474</v>
      </c>
      <c r="U46">
        <v>0</v>
      </c>
      <c r="V46">
        <v>0</v>
      </c>
      <c r="W46" s="4">
        <v>0</v>
      </c>
      <c r="X46">
        <v>0</v>
      </c>
      <c r="Y46">
        <v>0</v>
      </c>
      <c r="Z46" s="4">
        <v>0</v>
      </c>
    </row>
    <row r="47" spans="1:26" x14ac:dyDescent="0.2">
      <c r="B47" t="s">
        <v>2</v>
      </c>
      <c r="C47">
        <v>3.4</v>
      </c>
      <c r="D47">
        <v>3.8514700790858347</v>
      </c>
      <c r="E47" s="4">
        <v>13.278531737818671</v>
      </c>
      <c r="F47">
        <v>4.2</v>
      </c>
      <c r="G47">
        <v>3.6068632542474983</v>
      </c>
      <c r="H47" s="4">
        <v>-14.122303470297663</v>
      </c>
      <c r="I47">
        <v>7.6</v>
      </c>
      <c r="J47">
        <v>7.458333333333333</v>
      </c>
      <c r="K47" s="4">
        <v>-1.8640350877192975</v>
      </c>
      <c r="L47">
        <v>40</v>
      </c>
      <c r="M47">
        <v>40.090763865278774</v>
      </c>
      <c r="N47" s="4">
        <v>0.22690966319693476</v>
      </c>
      <c r="O47">
        <v>27.1</v>
      </c>
      <c r="P47">
        <v>30.291666666666664</v>
      </c>
      <c r="Q47" s="4">
        <v>11.777367773677721</v>
      </c>
      <c r="R47">
        <v>54.8</v>
      </c>
      <c r="S47">
        <v>56.634877831957013</v>
      </c>
      <c r="T47" s="4">
        <v>3.3483172116003943</v>
      </c>
      <c r="U47">
        <v>0</v>
      </c>
      <c r="V47">
        <v>0</v>
      </c>
      <c r="W47" s="4">
        <v>0</v>
      </c>
      <c r="X47">
        <v>0</v>
      </c>
      <c r="Y47">
        <v>0</v>
      </c>
      <c r="Z47" s="4">
        <v>0</v>
      </c>
    </row>
    <row r="48" spans="1:26" x14ac:dyDescent="0.2">
      <c r="B48" t="s">
        <v>3</v>
      </c>
      <c r="C48">
        <v>3</v>
      </c>
      <c r="D48">
        <v>3.6051522237370053</v>
      </c>
      <c r="E48" s="4">
        <v>20.171740791233507</v>
      </c>
      <c r="F48">
        <v>5.2</v>
      </c>
      <c r="G48">
        <v>4.1865144429296608</v>
      </c>
      <c r="H48" s="4">
        <v>-19.490106866737296</v>
      </c>
      <c r="I48">
        <v>8.1999999999999993</v>
      </c>
      <c r="J48">
        <v>7.7916666666666661</v>
      </c>
      <c r="K48" s="4">
        <v>-4.9796747967479664</v>
      </c>
      <c r="L48">
        <v>39</v>
      </c>
      <c r="M48">
        <v>38.850132050920763</v>
      </c>
      <c r="N48" s="4">
        <v>-0.384276792510864</v>
      </c>
      <c r="O48">
        <v>30.2</v>
      </c>
      <c r="P48">
        <v>32.791666666666664</v>
      </c>
      <c r="Q48" s="4">
        <v>8.5816777041942558</v>
      </c>
      <c r="R48">
        <v>54.9</v>
      </c>
      <c r="S48">
        <v>53.751641356863267</v>
      </c>
      <c r="T48" s="4">
        <v>-2.0917279474257406</v>
      </c>
      <c r="U48">
        <v>0</v>
      </c>
      <c r="V48">
        <v>0</v>
      </c>
      <c r="W48" s="4">
        <v>0</v>
      </c>
      <c r="X48">
        <v>0</v>
      </c>
      <c r="Y48">
        <v>0</v>
      </c>
      <c r="Z48" s="4">
        <v>0</v>
      </c>
    </row>
    <row r="49" spans="2:26" x14ac:dyDescent="0.2">
      <c r="B49" t="s">
        <v>4</v>
      </c>
      <c r="C49">
        <v>3.3</v>
      </c>
      <c r="D49">
        <v>3.7755107955177367</v>
      </c>
      <c r="E49" s="4">
        <v>14.409418045992028</v>
      </c>
      <c r="F49">
        <v>3.1</v>
      </c>
      <c r="G49">
        <v>2.6828225378155963</v>
      </c>
      <c r="H49" s="4">
        <v>-13.457337489819476</v>
      </c>
      <c r="I49">
        <v>6.4</v>
      </c>
      <c r="J49">
        <v>6.458333333333333</v>
      </c>
      <c r="K49" s="4">
        <v>0.91145833333332316</v>
      </c>
      <c r="L49">
        <v>47.3</v>
      </c>
      <c r="M49">
        <v>47.394259330312153</v>
      </c>
      <c r="N49" s="4">
        <v>0.19927976810180867</v>
      </c>
      <c r="O49">
        <v>30.6</v>
      </c>
      <c r="P49">
        <v>33.291666666666664</v>
      </c>
      <c r="Q49" s="4">
        <v>8.7962962962962834</v>
      </c>
      <c r="R49">
        <v>60</v>
      </c>
      <c r="S49">
        <v>62.784018947491127</v>
      </c>
      <c r="T49" s="4">
        <v>4.6400315791518789</v>
      </c>
      <c r="U49">
        <v>0</v>
      </c>
      <c r="V49">
        <v>0</v>
      </c>
      <c r="W49" s="4">
        <v>0</v>
      </c>
      <c r="X49">
        <v>0</v>
      </c>
      <c r="Y49">
        <v>0</v>
      </c>
      <c r="Z49" s="4">
        <v>0</v>
      </c>
    </row>
    <row r="50" spans="2:26" x14ac:dyDescent="0.2">
      <c r="B50" t="s">
        <v>5</v>
      </c>
      <c r="C50">
        <v>4.5999999999999996</v>
      </c>
      <c r="D50">
        <v>4.9929237071707409</v>
      </c>
      <c r="E50" s="4">
        <v>8.5418197211030709</v>
      </c>
      <c r="F50">
        <v>2.8</v>
      </c>
      <c r="G50">
        <v>2.5487429594959252</v>
      </c>
      <c r="H50" s="4">
        <v>-8.9734657322883802</v>
      </c>
      <c r="I50">
        <v>7.3999999999999995</v>
      </c>
      <c r="J50">
        <v>7.5416666666666661</v>
      </c>
      <c r="K50" s="4">
        <v>1.9144144144144135</v>
      </c>
      <c r="L50">
        <v>56.2</v>
      </c>
      <c r="M50">
        <v>56.186392636406872</v>
      </c>
      <c r="N50" s="4">
        <v>-2.4212390735108689E-2</v>
      </c>
      <c r="O50">
        <v>36.4</v>
      </c>
      <c r="P50">
        <v>38.958333333333329</v>
      </c>
      <c r="Q50" s="4">
        <v>7.0283882783882703</v>
      </c>
      <c r="R50">
        <v>58.2</v>
      </c>
      <c r="S50">
        <v>61.474226702632222</v>
      </c>
      <c r="T50" s="4">
        <v>5.6258190766876623</v>
      </c>
      <c r="U50">
        <v>0</v>
      </c>
      <c r="V50">
        <v>0</v>
      </c>
      <c r="W50" s="4">
        <v>0</v>
      </c>
      <c r="X50">
        <v>0</v>
      </c>
      <c r="Y50">
        <v>0</v>
      </c>
      <c r="Z50" s="4">
        <v>0</v>
      </c>
    </row>
    <row r="51" spans="2:26" x14ac:dyDescent="0.2">
      <c r="B51" t="s">
        <v>6</v>
      </c>
      <c r="C51">
        <v>3.1</v>
      </c>
      <c r="D51">
        <v>3.627412136390868</v>
      </c>
      <c r="E51" s="4">
        <v>17.013294722286062</v>
      </c>
      <c r="F51">
        <v>2.5</v>
      </c>
      <c r="G51">
        <v>2.080921196942465</v>
      </c>
      <c r="H51" s="4">
        <v>-16.763152122301399</v>
      </c>
      <c r="I51">
        <v>5.6</v>
      </c>
      <c r="J51">
        <v>5.708333333333333</v>
      </c>
      <c r="K51" s="4">
        <v>1.9345238095238106</v>
      </c>
      <c r="L51">
        <v>42.5</v>
      </c>
      <c r="M51">
        <v>41.758877213175282</v>
      </c>
      <c r="N51" s="4">
        <v>-1.7438183219405132</v>
      </c>
      <c r="O51">
        <v>18.600000000000001</v>
      </c>
      <c r="P51">
        <v>17.291666666666664</v>
      </c>
      <c r="Q51" s="4">
        <v>-7.0340501792114889</v>
      </c>
      <c r="R51">
        <v>63.8</v>
      </c>
      <c r="S51">
        <v>71.766220132845319</v>
      </c>
      <c r="T51" s="4">
        <v>12.486238452735615</v>
      </c>
      <c r="U51">
        <v>68.900000000000006</v>
      </c>
      <c r="V51">
        <v>57.205359968618239</v>
      </c>
      <c r="W51" s="4">
        <v>-11.694640031381766</v>
      </c>
      <c r="X51">
        <v>85</v>
      </c>
      <c r="Y51">
        <v>78.394160159198904</v>
      </c>
      <c r="Z51" s="4">
        <v>-6.6058398408010959</v>
      </c>
    </row>
    <row r="52" spans="2:26" x14ac:dyDescent="0.2">
      <c r="B52" t="s">
        <v>7</v>
      </c>
      <c r="C52">
        <v>3.4</v>
      </c>
      <c r="D52">
        <v>3.8490124993815718</v>
      </c>
      <c r="E52" s="4">
        <v>13.206249981810936</v>
      </c>
      <c r="F52">
        <v>3.1</v>
      </c>
      <c r="G52">
        <v>2.7759875006184282</v>
      </c>
      <c r="H52" s="4">
        <v>-10.452016109082962</v>
      </c>
      <c r="I52">
        <v>6.5</v>
      </c>
      <c r="J52">
        <v>6.625</v>
      </c>
      <c r="K52" s="4">
        <v>1.9230769230769231</v>
      </c>
      <c r="L52">
        <v>47.4</v>
      </c>
      <c r="M52">
        <v>47.984300376765809</v>
      </c>
      <c r="N52" s="4">
        <v>1.2327012168055071</v>
      </c>
      <c r="O52">
        <v>29.8</v>
      </c>
      <c r="P52">
        <v>34.791666666666664</v>
      </c>
      <c r="Q52" s="4">
        <v>16.750559284116321</v>
      </c>
      <c r="R52">
        <v>55.8</v>
      </c>
      <c r="S52">
        <v>61.868974145009751</v>
      </c>
      <c r="T52" s="4">
        <v>10.876297750913539</v>
      </c>
      <c r="U52">
        <v>0</v>
      </c>
      <c r="V52">
        <v>0</v>
      </c>
      <c r="W52" s="4">
        <v>0</v>
      </c>
      <c r="X52">
        <v>0</v>
      </c>
      <c r="Y52">
        <v>0</v>
      </c>
      <c r="Z52" s="4">
        <v>0</v>
      </c>
    </row>
    <row r="53" spans="2:26" x14ac:dyDescent="0.2">
      <c r="B53" t="s">
        <v>8</v>
      </c>
      <c r="C53">
        <v>3.3</v>
      </c>
      <c r="D53">
        <v>3.8400174711291397</v>
      </c>
      <c r="E53" s="4">
        <v>16.364165791792118</v>
      </c>
      <c r="F53">
        <v>4.2</v>
      </c>
      <c r="G53">
        <v>3.7016491955375264</v>
      </c>
      <c r="H53" s="4">
        <v>-11.865495344344614</v>
      </c>
      <c r="I53">
        <v>7.5</v>
      </c>
      <c r="J53">
        <v>7.5416666666666661</v>
      </c>
      <c r="K53" s="4">
        <v>0.5555555555555477</v>
      </c>
      <c r="L53">
        <v>39.799999999999997</v>
      </c>
      <c r="M53">
        <v>38.738677398513829</v>
      </c>
      <c r="N53" s="4">
        <v>-2.6666397022265533</v>
      </c>
      <c r="O53">
        <v>27.7</v>
      </c>
      <c r="P53">
        <v>28.458333333333332</v>
      </c>
      <c r="Q53" s="4">
        <v>2.7376654632972306</v>
      </c>
      <c r="R53">
        <v>54</v>
      </c>
      <c r="S53">
        <v>55.374135882234363</v>
      </c>
      <c r="T53" s="4">
        <v>2.5446960782117829</v>
      </c>
      <c r="U53">
        <v>0</v>
      </c>
      <c r="V53">
        <v>0</v>
      </c>
      <c r="W53" s="4">
        <v>0</v>
      </c>
      <c r="X53">
        <v>0</v>
      </c>
      <c r="Y53">
        <v>0</v>
      </c>
      <c r="Z53" s="4">
        <v>0</v>
      </c>
    </row>
    <row r="54" spans="2:26" x14ac:dyDescent="0.2">
      <c r="B54" t="s">
        <v>9</v>
      </c>
      <c r="C54">
        <v>3</v>
      </c>
      <c r="D54">
        <v>3.5298786351587883</v>
      </c>
      <c r="E54" s="4">
        <v>17.662621171959611</v>
      </c>
      <c r="F54">
        <v>6.2</v>
      </c>
      <c r="G54">
        <v>6.0117880315078782</v>
      </c>
      <c r="H54" s="4">
        <v>-3.0356769111632573</v>
      </c>
      <c r="I54">
        <v>9.1999999999999993</v>
      </c>
      <c r="J54">
        <v>9.5416666666666661</v>
      </c>
      <c r="K54" s="4">
        <v>3.713768115942031</v>
      </c>
      <c r="L54">
        <v>36.1</v>
      </c>
      <c r="M54">
        <v>35.16237737617903</v>
      </c>
      <c r="N54" s="4">
        <v>-2.5972925867616925</v>
      </c>
      <c r="O54">
        <v>27.2</v>
      </c>
      <c r="P54">
        <v>25.625</v>
      </c>
      <c r="Q54" s="4">
        <v>-5.7904411764705861</v>
      </c>
      <c r="R54">
        <v>56.9</v>
      </c>
      <c r="S54">
        <v>60.609272444826658</v>
      </c>
      <c r="T54" s="4">
        <v>6.5189322404686463</v>
      </c>
      <c r="U54">
        <v>13.4</v>
      </c>
      <c r="V54">
        <v>7.7444907935901171</v>
      </c>
      <c r="W54" s="4">
        <v>-5.6555092064098833</v>
      </c>
      <c r="X54">
        <v>48.1</v>
      </c>
      <c r="Y54">
        <v>41.676553872028407</v>
      </c>
      <c r="Z54" s="4">
        <v>-6.4234461279715944</v>
      </c>
    </row>
    <row r="55" spans="2:26" x14ac:dyDescent="0.2">
      <c r="B55" t="s">
        <v>10</v>
      </c>
      <c r="C55">
        <v>3.2</v>
      </c>
      <c r="D55">
        <v>3.7033096616187668</v>
      </c>
      <c r="E55" s="4">
        <v>15.728426925586458</v>
      </c>
      <c r="F55">
        <v>3.4</v>
      </c>
      <c r="G55">
        <v>2.7550236717145662</v>
      </c>
      <c r="H55" s="4">
        <v>-18.96989200839511</v>
      </c>
      <c r="I55">
        <v>6.6</v>
      </c>
      <c r="J55">
        <v>6.458333333333333</v>
      </c>
      <c r="K55" s="4">
        <v>-2.1464646464646457</v>
      </c>
      <c r="L55">
        <v>44.3</v>
      </c>
      <c r="M55">
        <v>44.458504719552671</v>
      </c>
      <c r="N55" s="4">
        <v>0.35779846400152165</v>
      </c>
      <c r="O55">
        <v>28.8</v>
      </c>
      <c r="P55">
        <v>31.458333333333332</v>
      </c>
      <c r="Q55" s="4">
        <v>9.2303240740740673</v>
      </c>
      <c r="R55">
        <v>63.6</v>
      </c>
      <c r="S55">
        <v>62.826479345222616</v>
      </c>
      <c r="T55" s="4">
        <v>-1.2162274446185308</v>
      </c>
      <c r="U55">
        <v>0</v>
      </c>
      <c r="V55">
        <v>0</v>
      </c>
      <c r="W55" s="4">
        <v>0</v>
      </c>
      <c r="X55">
        <v>0</v>
      </c>
      <c r="Y55">
        <v>0</v>
      </c>
      <c r="Z55" s="4">
        <v>0</v>
      </c>
    </row>
    <row r="56" spans="2:26" x14ac:dyDescent="0.2">
      <c r="B56" t="s">
        <v>11</v>
      </c>
      <c r="C56">
        <v>3.2</v>
      </c>
      <c r="D56">
        <v>3.7696708841814024</v>
      </c>
      <c r="E56" s="4">
        <v>17.80221513066882</v>
      </c>
      <c r="F56">
        <v>3.9</v>
      </c>
      <c r="G56">
        <v>3.2719957824852637</v>
      </c>
      <c r="H56" s="4">
        <v>-16.102672243967596</v>
      </c>
      <c r="I56">
        <v>7.1</v>
      </c>
      <c r="J56">
        <v>7.0416666666666661</v>
      </c>
      <c r="K56" s="4">
        <v>-0.82159624413145871</v>
      </c>
      <c r="L56">
        <v>41.4</v>
      </c>
      <c r="M56">
        <v>41.581605462550741</v>
      </c>
      <c r="N56" s="4">
        <v>0.43866053756217865</v>
      </c>
      <c r="O56">
        <v>26.8</v>
      </c>
      <c r="P56">
        <v>30.625</v>
      </c>
      <c r="Q56" s="4">
        <v>14.272388059701491</v>
      </c>
      <c r="R56">
        <v>56.6</v>
      </c>
      <c r="S56">
        <v>58.344919554953414</v>
      </c>
      <c r="T56" s="4">
        <v>3.0828967402003751</v>
      </c>
      <c r="U56">
        <v>0</v>
      </c>
      <c r="V56">
        <v>0</v>
      </c>
      <c r="W56" s="4">
        <v>0</v>
      </c>
      <c r="X56">
        <v>0</v>
      </c>
      <c r="Y56">
        <v>0</v>
      </c>
      <c r="Z56" s="4">
        <v>0</v>
      </c>
    </row>
    <row r="57" spans="2:26" x14ac:dyDescent="0.2">
      <c r="B57" t="s">
        <v>12</v>
      </c>
      <c r="C57">
        <v>4.5</v>
      </c>
      <c r="D57">
        <v>4.9138047560868525</v>
      </c>
      <c r="E57" s="4">
        <v>9.1956612463745007</v>
      </c>
      <c r="F57">
        <v>4</v>
      </c>
      <c r="G57">
        <v>3.4611952439131475</v>
      </c>
      <c r="H57" s="4">
        <v>-13.470118902171313</v>
      </c>
      <c r="I57">
        <v>8.5</v>
      </c>
      <c r="J57">
        <v>8.375</v>
      </c>
      <c r="K57" s="4">
        <v>-1.4705882352941175</v>
      </c>
      <c r="L57">
        <v>48.1</v>
      </c>
      <c r="M57">
        <v>48.575989287415787</v>
      </c>
      <c r="N57" s="4">
        <v>0.98958271812013643</v>
      </c>
      <c r="O57">
        <v>34.200000000000003</v>
      </c>
      <c r="P57">
        <v>38.375</v>
      </c>
      <c r="Q57" s="4">
        <v>12.207602339181276</v>
      </c>
      <c r="R57">
        <v>55.1</v>
      </c>
      <c r="S57">
        <v>55.3995278339303</v>
      </c>
      <c r="T57" s="4">
        <v>0.54360768408402627</v>
      </c>
      <c r="U57">
        <v>0</v>
      </c>
      <c r="V57">
        <v>0</v>
      </c>
      <c r="W57" s="4">
        <v>0</v>
      </c>
      <c r="X57">
        <v>0</v>
      </c>
      <c r="Y57">
        <v>0</v>
      </c>
      <c r="Z57" s="4">
        <v>0</v>
      </c>
    </row>
    <row r="58" spans="2:26" x14ac:dyDescent="0.2">
      <c r="B58" t="s">
        <v>13</v>
      </c>
      <c r="C58">
        <v>3.2</v>
      </c>
      <c r="D58">
        <v>3.7216162666826262</v>
      </c>
      <c r="E58" s="4">
        <v>16.300508333832063</v>
      </c>
      <c r="F58">
        <v>4.2</v>
      </c>
      <c r="G58">
        <v>3.9867170666507068</v>
      </c>
      <c r="H58" s="4">
        <v>-5.0781650797450801</v>
      </c>
      <c r="I58">
        <v>7.4</v>
      </c>
      <c r="J58">
        <v>7.708333333333333</v>
      </c>
      <c r="K58" s="4">
        <v>4.1666666666666572</v>
      </c>
      <c r="L58">
        <v>33.799999999999997</v>
      </c>
      <c r="M58">
        <v>33.103231448953593</v>
      </c>
      <c r="N58" s="4">
        <v>-2.0614454172970524</v>
      </c>
      <c r="O58">
        <v>17.899999999999999</v>
      </c>
      <c r="P58">
        <v>17.541666666666664</v>
      </c>
      <c r="Q58" s="4">
        <v>-2.0018621973929291</v>
      </c>
      <c r="R58">
        <v>57.1</v>
      </c>
      <c r="S58">
        <v>62.940316351390081</v>
      </c>
      <c r="T58" s="4">
        <v>10.228224783520279</v>
      </c>
      <c r="U58">
        <v>68.400000000000006</v>
      </c>
      <c r="V58">
        <v>59.597774512120324</v>
      </c>
      <c r="W58" s="4">
        <v>-8.8022254878796815</v>
      </c>
      <c r="X58">
        <v>84.7</v>
      </c>
      <c r="Y58">
        <v>79.583525811468689</v>
      </c>
      <c r="Z58" s="4">
        <v>-5.1164741885313134</v>
      </c>
    </row>
    <row r="59" spans="2:26" x14ac:dyDescent="0.2">
      <c r="B59" t="s">
        <v>14</v>
      </c>
      <c r="C59">
        <v>3.3</v>
      </c>
      <c r="D59">
        <v>3.7841211152733658</v>
      </c>
      <c r="E59" s="4">
        <v>14.670336826465638</v>
      </c>
      <c r="F59">
        <v>5</v>
      </c>
      <c r="G59">
        <v>4.3408788847266342</v>
      </c>
      <c r="H59" s="4">
        <v>-13.182422305467318</v>
      </c>
      <c r="I59">
        <v>8.3000000000000007</v>
      </c>
      <c r="J59">
        <v>8.125</v>
      </c>
      <c r="K59" s="4">
        <v>-2.1084337349397675</v>
      </c>
      <c r="L59">
        <v>35.9</v>
      </c>
      <c r="M59">
        <v>36.090686183307561</v>
      </c>
      <c r="N59" s="4">
        <v>0.53115928497928244</v>
      </c>
      <c r="O59">
        <v>24.2</v>
      </c>
      <c r="P59">
        <v>27.125</v>
      </c>
      <c r="Q59" s="4">
        <v>12.086776859504136</v>
      </c>
      <c r="R59">
        <v>50</v>
      </c>
      <c r="S59">
        <v>53.891169047390932</v>
      </c>
      <c r="T59" s="4">
        <v>7.7823380947818643</v>
      </c>
      <c r="U59">
        <v>0</v>
      </c>
      <c r="V59">
        <v>0</v>
      </c>
      <c r="W59" s="4">
        <v>0</v>
      </c>
      <c r="X59">
        <v>0</v>
      </c>
      <c r="Y59">
        <v>0</v>
      </c>
      <c r="Z59" s="4">
        <v>0</v>
      </c>
    </row>
    <row r="60" spans="2:26" x14ac:dyDescent="0.2">
      <c r="B60" t="s">
        <v>15</v>
      </c>
      <c r="C60">
        <v>3.1</v>
      </c>
      <c r="D60">
        <v>3.584722014326835</v>
      </c>
      <c r="E60" s="4">
        <v>15.636194010543061</v>
      </c>
      <c r="F60">
        <v>3.2</v>
      </c>
      <c r="G60">
        <v>2.540277985673165</v>
      </c>
      <c r="H60" s="4">
        <v>-20.616312947713599</v>
      </c>
      <c r="I60">
        <v>6.3000000000000007</v>
      </c>
      <c r="J60">
        <v>6.125</v>
      </c>
      <c r="K60" s="4">
        <v>-2.7777777777777888</v>
      </c>
      <c r="L60">
        <v>42.5</v>
      </c>
      <c r="M60">
        <v>41.945880460395443</v>
      </c>
      <c r="N60" s="4">
        <v>-1.3038106814224861</v>
      </c>
      <c r="O60">
        <v>22.8</v>
      </c>
      <c r="P60">
        <v>20.875</v>
      </c>
      <c r="Q60" s="4">
        <v>-8.4429824561403528</v>
      </c>
      <c r="R60">
        <v>59</v>
      </c>
      <c r="S60">
        <v>68.266541668566759</v>
      </c>
      <c r="T60" s="4">
        <v>15.706002828079255</v>
      </c>
      <c r="U60">
        <v>43.4</v>
      </c>
      <c r="V60">
        <v>33.217681472929044</v>
      </c>
      <c r="W60" s="4">
        <v>-10.182318527070954</v>
      </c>
      <c r="X60">
        <v>72.400000000000006</v>
      </c>
      <c r="Y60">
        <v>65.348973688721443</v>
      </c>
      <c r="Z60" s="4">
        <v>-7.0510263112785623</v>
      </c>
    </row>
    <row r="61" spans="2:26" x14ac:dyDescent="0.2">
      <c r="B61" t="s">
        <v>16</v>
      </c>
      <c r="C61">
        <v>3.1</v>
      </c>
      <c r="D61">
        <v>3.4331731916207362</v>
      </c>
      <c r="E61" s="4">
        <v>10.747522310346326</v>
      </c>
      <c r="F61">
        <v>3</v>
      </c>
      <c r="G61">
        <v>2.2751601417125968</v>
      </c>
      <c r="H61" s="4">
        <v>-24.161328609580103</v>
      </c>
      <c r="I61">
        <v>6.1</v>
      </c>
      <c r="J61">
        <v>5.708333333333333</v>
      </c>
      <c r="K61" s="4">
        <v>-6.4207650273224033</v>
      </c>
      <c r="L61">
        <v>48.5</v>
      </c>
      <c r="M61">
        <v>47.314148641036617</v>
      </c>
      <c r="N61" s="4">
        <v>-2.4450543483781093</v>
      </c>
      <c r="O61">
        <v>34.200000000000003</v>
      </c>
      <c r="P61">
        <v>32.041666666666664</v>
      </c>
      <c r="Q61" s="4">
        <v>-6.3109161793372461</v>
      </c>
      <c r="R61">
        <v>61.8</v>
      </c>
      <c r="S61">
        <v>68.496043246174651</v>
      </c>
      <c r="T61" s="4">
        <v>10.83502143393957</v>
      </c>
      <c r="U61">
        <v>0</v>
      </c>
      <c r="V61">
        <v>0</v>
      </c>
      <c r="W61" s="4">
        <v>0</v>
      </c>
      <c r="X61">
        <v>2.1</v>
      </c>
      <c r="Y61">
        <v>0</v>
      </c>
      <c r="Z61" s="4">
        <v>-2.1</v>
      </c>
    </row>
    <row r="62" spans="2:26" x14ac:dyDescent="0.2">
      <c r="B62" t="s">
        <v>17</v>
      </c>
      <c r="C62">
        <v>3.2</v>
      </c>
      <c r="D62">
        <v>3.6020785600797529</v>
      </c>
      <c r="E62" s="4">
        <v>12.564955002492272</v>
      </c>
      <c r="F62">
        <v>5.4</v>
      </c>
      <c r="G62">
        <v>5.2729214399202471</v>
      </c>
      <c r="H62" s="4">
        <v>-2.3533066681435786</v>
      </c>
      <c r="I62">
        <v>8.6000000000000014</v>
      </c>
      <c r="J62">
        <v>8.875</v>
      </c>
      <c r="K62" s="4">
        <v>3.1976744186046338</v>
      </c>
      <c r="L62">
        <v>38.5</v>
      </c>
      <c r="M62">
        <v>37.27622590474634</v>
      </c>
      <c r="N62" s="4">
        <v>-3.1786340136458695</v>
      </c>
      <c r="O62">
        <v>26.1</v>
      </c>
      <c r="P62">
        <v>25.125</v>
      </c>
      <c r="Q62" s="4">
        <v>-3.7356321839080513</v>
      </c>
      <c r="R62">
        <v>57.4</v>
      </c>
      <c r="S62">
        <v>60.084232130587679</v>
      </c>
      <c r="T62" s="4">
        <v>4.6763625968426492</v>
      </c>
      <c r="U62">
        <v>23.7</v>
      </c>
      <c r="V62">
        <v>16.853966392345114</v>
      </c>
      <c r="W62" s="4">
        <v>-6.8460336076548849</v>
      </c>
      <c r="X62">
        <v>61.2</v>
      </c>
      <c r="Y62">
        <v>55.371001721121132</v>
      </c>
      <c r="Z62" s="4">
        <v>-5.8289982788788706</v>
      </c>
    </row>
    <row r="63" spans="2:26" x14ac:dyDescent="0.2">
      <c r="B63" t="s">
        <v>18</v>
      </c>
      <c r="C63">
        <v>3</v>
      </c>
      <c r="D63">
        <v>3.4213501890877795</v>
      </c>
      <c r="E63" s="4">
        <v>14.045006302925986</v>
      </c>
      <c r="F63">
        <v>3.2</v>
      </c>
      <c r="G63">
        <v>2.7869831442455535</v>
      </c>
      <c r="H63" s="4">
        <v>-12.906776742326459</v>
      </c>
      <c r="I63">
        <v>6.2</v>
      </c>
      <c r="J63">
        <v>6.208333333333333</v>
      </c>
      <c r="K63" s="4">
        <v>0.13440860215052999</v>
      </c>
      <c r="L63">
        <v>40</v>
      </c>
      <c r="M63">
        <v>39.145553696340244</v>
      </c>
      <c r="N63" s="4">
        <v>-2.1361157591493907</v>
      </c>
      <c r="O63">
        <v>21.3</v>
      </c>
      <c r="P63">
        <v>20.875</v>
      </c>
      <c r="Q63" s="4">
        <v>-1.9953051643192519</v>
      </c>
      <c r="R63">
        <v>62.2</v>
      </c>
      <c r="S63">
        <v>67.48467381340221</v>
      </c>
      <c r="T63" s="4">
        <v>8.4962601501643196</v>
      </c>
      <c r="U63">
        <v>27.4</v>
      </c>
      <c r="V63">
        <v>21.843597936456632</v>
      </c>
      <c r="W63" s="4">
        <v>-5.5564020635433664</v>
      </c>
      <c r="X63">
        <v>64.5</v>
      </c>
      <c r="Y63">
        <v>59.813975572032227</v>
      </c>
      <c r="Z63" s="4">
        <v>-4.686024427967773</v>
      </c>
    </row>
    <row r="64" spans="2:26" x14ac:dyDescent="0.2">
      <c r="B64" t="s">
        <v>19</v>
      </c>
      <c r="C64">
        <v>2.8</v>
      </c>
      <c r="D64">
        <v>3.1527324328885076</v>
      </c>
      <c r="E64" s="4">
        <v>12.597586888875279</v>
      </c>
      <c r="F64">
        <v>4.4000000000000004</v>
      </c>
      <c r="G64">
        <v>3.4722675671114924</v>
      </c>
      <c r="H64" s="4">
        <v>-21.08482802019336</v>
      </c>
      <c r="I64">
        <v>7.2</v>
      </c>
      <c r="J64">
        <v>6.625</v>
      </c>
      <c r="K64" s="4">
        <v>-7.9861111111111134</v>
      </c>
      <c r="L64">
        <v>43.3</v>
      </c>
      <c r="M64">
        <v>42.802756753192384</v>
      </c>
      <c r="N64" s="4">
        <v>-1.1483677755372137</v>
      </c>
      <c r="O64">
        <v>32.799999999999997</v>
      </c>
      <c r="P64">
        <v>32.458333333333329</v>
      </c>
      <c r="Q64" s="4">
        <v>-1.0416666666666725</v>
      </c>
      <c r="R64">
        <v>57.7</v>
      </c>
      <c r="S64">
        <v>61.387726193990439</v>
      </c>
      <c r="T64" s="4">
        <v>6.3912065753733716</v>
      </c>
      <c r="U64">
        <v>0</v>
      </c>
      <c r="V64">
        <v>0</v>
      </c>
      <c r="W64" s="4">
        <v>0</v>
      </c>
      <c r="X64">
        <v>2.9</v>
      </c>
      <c r="Y64">
        <v>0</v>
      </c>
      <c r="Z64" s="4">
        <v>-2.9</v>
      </c>
    </row>
    <row r="65" spans="1:26" x14ac:dyDescent="0.2">
      <c r="B65" t="s">
        <v>20</v>
      </c>
      <c r="C65">
        <v>3.3</v>
      </c>
      <c r="D65">
        <v>3.6989865392649204</v>
      </c>
      <c r="E65" s="4">
        <v>12.090501189846078</v>
      </c>
      <c r="F65">
        <v>2.7</v>
      </c>
      <c r="G65">
        <v>2.3426801274017457</v>
      </c>
      <c r="H65" s="4">
        <v>-13.234069355490908</v>
      </c>
      <c r="I65">
        <v>6</v>
      </c>
      <c r="J65">
        <v>6.0416666666666661</v>
      </c>
      <c r="K65" s="4">
        <v>0.69444444444443465</v>
      </c>
      <c r="L65">
        <v>49.9</v>
      </c>
      <c r="M65">
        <v>49.997666839841798</v>
      </c>
      <c r="N65" s="4">
        <v>0.19572512994348681</v>
      </c>
      <c r="O65">
        <v>30.1</v>
      </c>
      <c r="P65">
        <v>32.458333333333329</v>
      </c>
      <c r="Q65" s="4">
        <v>7.8349944629014194</v>
      </c>
      <c r="R65">
        <v>60.8</v>
      </c>
      <c r="S65">
        <v>65.95682339232205</v>
      </c>
      <c r="T65" s="4">
        <v>8.4816174215823246</v>
      </c>
      <c r="U65">
        <v>0</v>
      </c>
      <c r="V65">
        <v>0</v>
      </c>
      <c r="W65" s="4">
        <v>0</v>
      </c>
      <c r="X65">
        <v>0</v>
      </c>
      <c r="Y65">
        <v>0</v>
      </c>
      <c r="Z65" s="4">
        <v>0</v>
      </c>
    </row>
    <row r="66" spans="1:26" x14ac:dyDescent="0.2">
      <c r="B66" t="s">
        <v>21</v>
      </c>
      <c r="C66">
        <v>3.2</v>
      </c>
      <c r="D66">
        <v>3.7042107108555404</v>
      </c>
      <c r="E66" s="4">
        <v>15.756584714235633</v>
      </c>
      <c r="F66">
        <v>3.4</v>
      </c>
      <c r="G66">
        <v>2.6707892891444596</v>
      </c>
      <c r="H66" s="4">
        <v>-21.447373848692365</v>
      </c>
      <c r="I66">
        <v>6.6</v>
      </c>
      <c r="J66">
        <v>6.375</v>
      </c>
      <c r="K66" s="4">
        <v>-3.4090909090909038</v>
      </c>
      <c r="L66">
        <v>44.1</v>
      </c>
      <c r="M66">
        <v>44.40968896793548</v>
      </c>
      <c r="N66" s="4">
        <v>0.70224255767682275</v>
      </c>
      <c r="O66">
        <v>26.1</v>
      </c>
      <c r="P66">
        <v>29.291666666666664</v>
      </c>
      <c r="Q66" s="4">
        <v>12.228607918263075</v>
      </c>
      <c r="R66">
        <v>58.3</v>
      </c>
      <c r="S66">
        <v>62.668206654379908</v>
      </c>
      <c r="T66" s="4">
        <v>7.4926357708060216</v>
      </c>
      <c r="U66">
        <v>0</v>
      </c>
      <c r="V66">
        <v>0</v>
      </c>
      <c r="W66" s="4">
        <v>0</v>
      </c>
      <c r="X66">
        <v>0</v>
      </c>
      <c r="Y66">
        <v>0</v>
      </c>
      <c r="Z66" s="4">
        <v>0</v>
      </c>
    </row>
    <row r="67" spans="1:26" x14ac:dyDescent="0.2">
      <c r="B67" t="s">
        <v>22</v>
      </c>
      <c r="C67">
        <v>3</v>
      </c>
      <c r="D67">
        <v>3.4430181076222839</v>
      </c>
      <c r="E67" s="4">
        <v>14.767270254076129</v>
      </c>
      <c r="F67">
        <v>3.3</v>
      </c>
      <c r="G67">
        <v>2.9319818923777161</v>
      </c>
      <c r="H67" s="4">
        <v>-11.152063867341932</v>
      </c>
      <c r="I67">
        <v>6.3</v>
      </c>
      <c r="J67">
        <v>6.375</v>
      </c>
      <c r="K67" s="4">
        <v>1.1904761904761934</v>
      </c>
      <c r="L67">
        <v>48.3</v>
      </c>
      <c r="M67">
        <v>49.004971275158653</v>
      </c>
      <c r="N67" s="4">
        <v>1.4595678574713364</v>
      </c>
      <c r="O67">
        <v>34.799999999999997</v>
      </c>
      <c r="P67">
        <v>39.708333333333329</v>
      </c>
      <c r="Q67" s="4">
        <v>14.104406130268195</v>
      </c>
      <c r="R67">
        <v>63.6</v>
      </c>
      <c r="S67">
        <v>61.519127412330882</v>
      </c>
      <c r="T67" s="4">
        <v>-3.2718122447627671</v>
      </c>
      <c r="U67">
        <v>0</v>
      </c>
      <c r="V67">
        <v>0</v>
      </c>
      <c r="W67" s="4">
        <v>0</v>
      </c>
      <c r="X67">
        <v>0</v>
      </c>
      <c r="Y67">
        <v>0</v>
      </c>
      <c r="Z67" s="4">
        <v>0</v>
      </c>
    </row>
    <row r="68" spans="1:26" x14ac:dyDescent="0.2">
      <c r="A68" s="1" t="s">
        <v>330</v>
      </c>
      <c r="B68" t="s">
        <v>1</v>
      </c>
      <c r="C68">
        <v>5</v>
      </c>
      <c r="D68">
        <v>5.3535057987577286</v>
      </c>
      <c r="E68" s="4">
        <v>7.0701159751545717</v>
      </c>
      <c r="F68">
        <v>1.5</v>
      </c>
      <c r="G68">
        <v>1.1881608679089375</v>
      </c>
      <c r="H68" s="4">
        <v>-20.789275472737501</v>
      </c>
      <c r="I68">
        <v>6.5</v>
      </c>
      <c r="J68">
        <v>6.5416666666666661</v>
      </c>
      <c r="K68" s="4">
        <v>0.64102564102563186</v>
      </c>
      <c r="L68">
        <v>37.1</v>
      </c>
      <c r="M68">
        <v>37.240161119006927</v>
      </c>
      <c r="N68" s="4">
        <v>0.37779277360357433</v>
      </c>
      <c r="O68">
        <v>21.2</v>
      </c>
      <c r="P68">
        <v>25.291666666666664</v>
      </c>
      <c r="Q68" s="4">
        <v>19.300314465408796</v>
      </c>
      <c r="R68">
        <v>66.5</v>
      </c>
      <c r="S68">
        <v>73.716869451041973</v>
      </c>
      <c r="T68" s="4">
        <v>10.85243526472477</v>
      </c>
      <c r="U68">
        <v>0</v>
      </c>
      <c r="V68">
        <v>0</v>
      </c>
      <c r="W68" s="4">
        <v>0</v>
      </c>
      <c r="X68">
        <v>0</v>
      </c>
      <c r="Y68">
        <v>0</v>
      </c>
      <c r="Z68" s="4">
        <v>0</v>
      </c>
    </row>
    <row r="69" spans="1:26" x14ac:dyDescent="0.2">
      <c r="B69" t="s">
        <v>2</v>
      </c>
      <c r="C69">
        <v>4.8</v>
      </c>
      <c r="D69">
        <v>5.1062718898061998</v>
      </c>
      <c r="E69" s="4">
        <v>6.3806643709625011</v>
      </c>
      <c r="F69">
        <v>1.6</v>
      </c>
      <c r="G69">
        <v>1.2687281101938002</v>
      </c>
      <c r="H69" s="4">
        <v>-20.704493112887494</v>
      </c>
      <c r="I69">
        <v>6.4</v>
      </c>
      <c r="J69">
        <v>6.375</v>
      </c>
      <c r="K69" s="4">
        <v>-0.39062500000000555</v>
      </c>
      <c r="L69">
        <v>39.5</v>
      </c>
      <c r="M69">
        <v>39.544111777855704</v>
      </c>
      <c r="N69" s="4">
        <v>0.11167538697646659</v>
      </c>
      <c r="O69">
        <v>23.2</v>
      </c>
      <c r="P69">
        <v>26.125</v>
      </c>
      <c r="Q69" s="4">
        <v>12.607758620689658</v>
      </c>
      <c r="R69">
        <v>60.6</v>
      </c>
      <c r="S69">
        <v>73.196886071693783</v>
      </c>
      <c r="T69" s="4">
        <v>20.786940712365976</v>
      </c>
      <c r="U69">
        <v>0</v>
      </c>
      <c r="V69">
        <v>0</v>
      </c>
      <c r="W69" s="4">
        <v>0</v>
      </c>
      <c r="X69">
        <v>4.2</v>
      </c>
      <c r="Y69">
        <v>2.6299012727785822</v>
      </c>
      <c r="Z69" s="4">
        <v>-1.570098727221418</v>
      </c>
    </row>
    <row r="70" spans="1:26" x14ac:dyDescent="0.2">
      <c r="B70" t="s">
        <v>3</v>
      </c>
      <c r="C70">
        <v>5.0999999999999996</v>
      </c>
      <c r="D70">
        <v>5.4127234374521667</v>
      </c>
      <c r="E70" s="4">
        <v>6.1318321069052359</v>
      </c>
      <c r="F70">
        <v>1.8</v>
      </c>
      <c r="G70">
        <v>1.5456098958811664</v>
      </c>
      <c r="H70" s="4">
        <v>-14.132783562157424</v>
      </c>
      <c r="I70">
        <v>6.8999999999999995</v>
      </c>
      <c r="J70">
        <v>6.958333333333333</v>
      </c>
      <c r="K70" s="4">
        <v>0.8454106280193272</v>
      </c>
      <c r="L70">
        <v>34.9</v>
      </c>
      <c r="M70">
        <v>35.11969567437103</v>
      </c>
      <c r="N70" s="4">
        <v>0.62950049963046328</v>
      </c>
      <c r="O70">
        <v>21.4</v>
      </c>
      <c r="P70">
        <v>26.458333333333332</v>
      </c>
      <c r="Q70" s="4">
        <v>23.637071651090345</v>
      </c>
      <c r="R70">
        <v>64.3</v>
      </c>
      <c r="S70">
        <v>69.587045564848935</v>
      </c>
      <c r="T70" s="4">
        <v>8.2224658862347404</v>
      </c>
      <c r="U70">
        <v>0</v>
      </c>
      <c r="V70">
        <v>0</v>
      </c>
      <c r="W70" s="4">
        <v>0</v>
      </c>
      <c r="X70">
        <v>0</v>
      </c>
      <c r="Y70">
        <v>0</v>
      </c>
      <c r="Z70" s="4">
        <v>0</v>
      </c>
    </row>
    <row r="71" spans="1:26" x14ac:dyDescent="0.2">
      <c r="B71" t="s">
        <v>4</v>
      </c>
      <c r="C71">
        <v>5</v>
      </c>
      <c r="D71">
        <v>5.3345838660096447</v>
      </c>
      <c r="E71" s="4">
        <v>6.6916773201928947</v>
      </c>
      <c r="F71">
        <v>2.1</v>
      </c>
      <c r="G71">
        <v>1.8737494673236883</v>
      </c>
      <c r="H71" s="4">
        <v>-10.77383488934818</v>
      </c>
      <c r="I71">
        <v>7.1</v>
      </c>
      <c r="J71">
        <v>7.208333333333333</v>
      </c>
      <c r="K71" s="4">
        <v>1.5258215962441324</v>
      </c>
      <c r="L71">
        <v>30.9</v>
      </c>
      <c r="M71">
        <v>30.439171964676589</v>
      </c>
      <c r="N71" s="4">
        <v>-1.491352865124302</v>
      </c>
      <c r="O71">
        <v>16.7</v>
      </c>
      <c r="P71">
        <v>17.875</v>
      </c>
      <c r="Q71" s="4">
        <v>7.0359281437125789</v>
      </c>
      <c r="R71">
        <v>61.8</v>
      </c>
      <c r="S71">
        <v>67.627009868849925</v>
      </c>
      <c r="T71" s="4">
        <v>9.428818558009592</v>
      </c>
      <c r="U71">
        <v>30.5</v>
      </c>
      <c r="V71">
        <v>30.000343445471671</v>
      </c>
      <c r="W71" s="4">
        <v>-0.49965655452832891</v>
      </c>
      <c r="X71">
        <v>65.8</v>
      </c>
      <c r="Y71">
        <v>63.946933437873511</v>
      </c>
      <c r="Z71" s="4">
        <v>-1.8530665621264859</v>
      </c>
    </row>
    <row r="72" spans="1:26" x14ac:dyDescent="0.2">
      <c r="B72" t="s">
        <v>5</v>
      </c>
      <c r="C72">
        <v>5.0999999999999996</v>
      </c>
      <c r="D72">
        <v>5.4201527362529749</v>
      </c>
      <c r="E72" s="4">
        <v>6.2775046324112793</v>
      </c>
      <c r="F72">
        <v>2</v>
      </c>
      <c r="G72">
        <v>1.7048472637470251</v>
      </c>
      <c r="H72" s="4">
        <v>-14.757636812648744</v>
      </c>
      <c r="I72">
        <v>7.1</v>
      </c>
      <c r="J72">
        <v>7.125</v>
      </c>
      <c r="K72" s="4">
        <v>0.35211267605634305</v>
      </c>
      <c r="L72">
        <v>32.5</v>
      </c>
      <c r="M72">
        <v>31.801388675904263</v>
      </c>
      <c r="N72" s="4">
        <v>-2.1495733049099583</v>
      </c>
      <c r="O72">
        <v>22.1</v>
      </c>
      <c r="P72">
        <v>24.041666666666664</v>
      </c>
      <c r="Q72" s="4">
        <v>8.7858220211161218</v>
      </c>
      <c r="R72">
        <v>63.6</v>
      </c>
      <c r="S72">
        <v>68.524637354992578</v>
      </c>
      <c r="T72" s="4">
        <v>7.7431404952713461</v>
      </c>
      <c r="U72">
        <v>0</v>
      </c>
      <c r="V72">
        <v>0</v>
      </c>
      <c r="W72" s="4">
        <v>0</v>
      </c>
      <c r="X72">
        <v>0</v>
      </c>
      <c r="Y72">
        <v>0</v>
      </c>
      <c r="Z72" s="4">
        <v>0</v>
      </c>
    </row>
    <row r="73" spans="1:26" x14ac:dyDescent="0.2">
      <c r="B73" t="s">
        <v>6</v>
      </c>
      <c r="C73">
        <v>8</v>
      </c>
      <c r="D73">
        <v>8.1395890558738166</v>
      </c>
      <c r="E73" s="4">
        <v>1.7448631984227081</v>
      </c>
      <c r="F73">
        <v>2.2000000000000002</v>
      </c>
      <c r="G73">
        <v>2.1520776107928494</v>
      </c>
      <c r="H73" s="4">
        <v>-2.1782904185068523</v>
      </c>
      <c r="I73">
        <v>10.199999999999999</v>
      </c>
      <c r="J73">
        <v>10.291666666666666</v>
      </c>
      <c r="K73" s="4">
        <v>0.89869281045751748</v>
      </c>
      <c r="L73">
        <v>58.8</v>
      </c>
      <c r="M73">
        <v>58.822556520134</v>
      </c>
      <c r="N73" s="4">
        <v>3.8361428799325206E-2</v>
      </c>
      <c r="O73">
        <v>39.5</v>
      </c>
      <c r="P73">
        <v>42.791666666666664</v>
      </c>
      <c r="Q73" s="4">
        <v>8.3333333333333268</v>
      </c>
      <c r="R73">
        <v>55.1</v>
      </c>
      <c r="S73">
        <v>60.92723591916495</v>
      </c>
      <c r="T73" s="4">
        <v>10.575745769809345</v>
      </c>
      <c r="U73">
        <v>0</v>
      </c>
      <c r="V73">
        <v>0</v>
      </c>
      <c r="W73" s="4">
        <v>0</v>
      </c>
      <c r="X73">
        <v>0</v>
      </c>
      <c r="Y73">
        <v>0</v>
      </c>
      <c r="Z73" s="4">
        <v>0</v>
      </c>
    </row>
    <row r="74" spans="1:26" x14ac:dyDescent="0.2">
      <c r="B74" t="s">
        <v>7</v>
      </c>
      <c r="C74">
        <v>4.9000000000000004</v>
      </c>
      <c r="D74">
        <v>5.2326723213399697</v>
      </c>
      <c r="E74" s="4">
        <v>6.7892310477544768</v>
      </c>
      <c r="F74">
        <v>1.4</v>
      </c>
      <c r="G74">
        <v>1.1423276786600303</v>
      </c>
      <c r="H74" s="4">
        <v>-18.405165809997833</v>
      </c>
      <c r="I74">
        <v>6.3000000000000007</v>
      </c>
      <c r="J74">
        <v>6.375</v>
      </c>
      <c r="K74" s="4">
        <v>1.1904761904761791</v>
      </c>
      <c r="L74">
        <v>43.7</v>
      </c>
      <c r="M74">
        <v>44.402195155352395</v>
      </c>
      <c r="N74" s="4">
        <v>1.6068539024082193</v>
      </c>
      <c r="O74">
        <v>22.4</v>
      </c>
      <c r="P74">
        <v>28.291666666666664</v>
      </c>
      <c r="Q74" s="4">
        <v>26.302083333333332</v>
      </c>
      <c r="R74">
        <v>68.099999999999994</v>
      </c>
      <c r="S74">
        <v>75.195159046910817</v>
      </c>
      <c r="T74" s="4">
        <v>10.418735751704586</v>
      </c>
      <c r="U74">
        <v>0</v>
      </c>
      <c r="V74">
        <v>0</v>
      </c>
      <c r="W74" s="4">
        <v>0</v>
      </c>
      <c r="X74">
        <v>0</v>
      </c>
      <c r="Y74">
        <v>0</v>
      </c>
      <c r="Z74" s="4">
        <v>0</v>
      </c>
    </row>
    <row r="75" spans="1:26" x14ac:dyDescent="0.2">
      <c r="B75" t="s">
        <v>8</v>
      </c>
      <c r="C75">
        <v>4.9000000000000004</v>
      </c>
      <c r="D75">
        <v>5.1717608470612522</v>
      </c>
      <c r="E75" s="4">
        <v>5.546139735943914</v>
      </c>
      <c r="F75">
        <v>1.3</v>
      </c>
      <c r="G75">
        <v>1.0365724862720809</v>
      </c>
      <c r="H75" s="4">
        <v>-20.263654902147628</v>
      </c>
      <c r="I75">
        <v>6.2</v>
      </c>
      <c r="J75">
        <v>6.208333333333333</v>
      </c>
      <c r="K75" s="4">
        <v>0.13440860215052999</v>
      </c>
      <c r="L75">
        <v>44.2</v>
      </c>
      <c r="M75">
        <v>44.022185566299541</v>
      </c>
      <c r="N75" s="4">
        <v>-0.40229509886982329</v>
      </c>
      <c r="O75">
        <v>21.9</v>
      </c>
      <c r="P75">
        <v>24.208333333333332</v>
      </c>
      <c r="Q75" s="4">
        <v>10.540334855403351</v>
      </c>
      <c r="R75">
        <v>63.6</v>
      </c>
      <c r="S75">
        <v>77.163189909814747</v>
      </c>
      <c r="T75" s="4">
        <v>21.325770298450859</v>
      </c>
      <c r="U75">
        <v>0</v>
      </c>
      <c r="V75">
        <v>0</v>
      </c>
      <c r="W75" s="4">
        <v>0</v>
      </c>
      <c r="X75">
        <v>18</v>
      </c>
      <c r="Y75">
        <v>18.31580518955046</v>
      </c>
      <c r="Z75" s="4">
        <v>0.31580518955045989</v>
      </c>
    </row>
    <row r="76" spans="1:26" x14ac:dyDescent="0.2">
      <c r="B76" t="s">
        <v>9</v>
      </c>
      <c r="C76">
        <v>4.9000000000000004</v>
      </c>
      <c r="D76">
        <v>5.2160401487176538</v>
      </c>
      <c r="E76" s="4">
        <v>6.4497989534214968</v>
      </c>
      <c r="F76">
        <v>1.5</v>
      </c>
      <c r="G76">
        <v>1.2422931846156793</v>
      </c>
      <c r="H76" s="4">
        <v>-17.180454358954712</v>
      </c>
      <c r="I76">
        <v>6.4</v>
      </c>
      <c r="J76">
        <v>6.458333333333333</v>
      </c>
      <c r="K76" s="4">
        <v>0.91145833333332316</v>
      </c>
      <c r="L76">
        <v>42.1</v>
      </c>
      <c r="M76">
        <v>41.632759844543379</v>
      </c>
      <c r="N76" s="4">
        <v>-1.1098340984717865</v>
      </c>
      <c r="O76">
        <v>18.899999999999999</v>
      </c>
      <c r="P76">
        <v>18.958333333333332</v>
      </c>
      <c r="Q76" s="4">
        <v>0.30864197530864323</v>
      </c>
      <c r="R76">
        <v>61.3</v>
      </c>
      <c r="S76">
        <v>74.530754301638865</v>
      </c>
      <c r="T76" s="4">
        <v>21.5836122375838</v>
      </c>
      <c r="U76">
        <v>48.5</v>
      </c>
      <c r="V76">
        <v>43.253384599591627</v>
      </c>
      <c r="W76" s="4">
        <v>-5.2466154004083734</v>
      </c>
      <c r="X76">
        <v>75.2</v>
      </c>
      <c r="Y76">
        <v>71.262726353978877</v>
      </c>
      <c r="Z76" s="4">
        <v>-3.9372736460211257</v>
      </c>
    </row>
    <row r="77" spans="1:26" x14ac:dyDescent="0.2">
      <c r="B77" t="s">
        <v>10</v>
      </c>
      <c r="C77">
        <v>5.2</v>
      </c>
      <c r="D77">
        <v>5.5034552974879141</v>
      </c>
      <c r="E77" s="4">
        <v>5.8356787978444977</v>
      </c>
      <c r="F77">
        <v>1.5</v>
      </c>
      <c r="G77">
        <v>1.1215447025120859</v>
      </c>
      <c r="H77" s="4">
        <v>-25.230353165860937</v>
      </c>
      <c r="I77">
        <v>6.7</v>
      </c>
      <c r="J77">
        <v>6.625</v>
      </c>
      <c r="K77" s="4">
        <v>-1.1194029850746294</v>
      </c>
      <c r="L77">
        <v>39.9</v>
      </c>
      <c r="M77">
        <v>39.351823988070379</v>
      </c>
      <c r="N77" s="4">
        <v>-1.3738747166155882</v>
      </c>
      <c r="O77">
        <v>20.2</v>
      </c>
      <c r="P77">
        <v>21.208333333333332</v>
      </c>
      <c r="Q77" s="4">
        <v>4.9917491749174898</v>
      </c>
      <c r="R77">
        <v>66.5</v>
      </c>
      <c r="S77">
        <v>73.976984108528981</v>
      </c>
      <c r="T77" s="4">
        <v>11.24358512560749</v>
      </c>
      <c r="U77">
        <v>4</v>
      </c>
      <c r="V77">
        <v>2.2130707497068869</v>
      </c>
      <c r="W77" s="4">
        <v>-1.7869292502931131</v>
      </c>
      <c r="X77">
        <v>40.200000000000003</v>
      </c>
      <c r="Y77">
        <v>38.586180800271244</v>
      </c>
      <c r="Z77" s="4">
        <v>-1.6138191997287592</v>
      </c>
    </row>
    <row r="78" spans="1:26" x14ac:dyDescent="0.2">
      <c r="B78" t="s">
        <v>11</v>
      </c>
      <c r="C78">
        <v>5.0999999999999996</v>
      </c>
      <c r="D78">
        <v>5.3328313897468043</v>
      </c>
      <c r="E78" s="4">
        <v>4.5653213675844047</v>
      </c>
      <c r="F78">
        <v>2.7</v>
      </c>
      <c r="G78">
        <v>2.3755019435865288</v>
      </c>
      <c r="H78" s="4">
        <v>-12.018446533832273</v>
      </c>
      <c r="I78">
        <v>7.8</v>
      </c>
      <c r="J78">
        <v>7.708333333333333</v>
      </c>
      <c r="K78" s="4">
        <v>-1.1752136752136768</v>
      </c>
      <c r="L78">
        <v>29.7</v>
      </c>
      <c r="M78">
        <v>29.188249950941145</v>
      </c>
      <c r="N78" s="4">
        <v>-1.7230641382452998</v>
      </c>
      <c r="O78">
        <v>21</v>
      </c>
      <c r="P78">
        <v>23.291666666666664</v>
      </c>
      <c r="Q78" s="4">
        <v>10.912698412698402</v>
      </c>
      <c r="R78">
        <v>58.4</v>
      </c>
      <c r="S78">
        <v>64.878431294431664</v>
      </c>
      <c r="T78" s="4">
        <v>11.093204271287098</v>
      </c>
      <c r="U78">
        <v>0</v>
      </c>
      <c r="V78">
        <v>0</v>
      </c>
      <c r="W78" s="4">
        <v>0</v>
      </c>
      <c r="X78">
        <v>0</v>
      </c>
      <c r="Y78">
        <v>0</v>
      </c>
      <c r="Z78" s="4">
        <v>0</v>
      </c>
    </row>
    <row r="79" spans="1:26" x14ac:dyDescent="0.2">
      <c r="B79" t="s">
        <v>12</v>
      </c>
      <c r="C79">
        <v>4.9000000000000004</v>
      </c>
      <c r="D79">
        <v>5.3437776761903102</v>
      </c>
      <c r="E79" s="4">
        <v>9.0566872691899967</v>
      </c>
      <c r="F79">
        <v>1.4</v>
      </c>
      <c r="G79">
        <v>1.0312223238096898</v>
      </c>
      <c r="H79" s="4">
        <v>-26.34126258502215</v>
      </c>
      <c r="I79">
        <v>6.3000000000000007</v>
      </c>
      <c r="J79">
        <v>6.375</v>
      </c>
      <c r="K79" s="4">
        <v>1.1904761904761791</v>
      </c>
      <c r="L79">
        <v>40.700000000000003</v>
      </c>
      <c r="M79">
        <v>41.374144751077367</v>
      </c>
      <c r="N79" s="4">
        <v>1.656375309772393</v>
      </c>
      <c r="O79">
        <v>23.4</v>
      </c>
      <c r="P79">
        <v>29.958333333333332</v>
      </c>
      <c r="Q79" s="4">
        <v>28.027065527065531</v>
      </c>
      <c r="R79">
        <v>68.8</v>
      </c>
      <c r="S79">
        <v>75.259343077480494</v>
      </c>
      <c r="T79" s="4">
        <v>9.3885800544774671</v>
      </c>
      <c r="U79">
        <v>0</v>
      </c>
      <c r="V79">
        <v>0</v>
      </c>
      <c r="W79" s="4">
        <v>0</v>
      </c>
      <c r="X79">
        <v>0</v>
      </c>
      <c r="Y79">
        <v>0</v>
      </c>
      <c r="Z79" s="4">
        <v>0</v>
      </c>
    </row>
    <row r="80" spans="1:26" x14ac:dyDescent="0.2">
      <c r="B80" t="s">
        <v>13</v>
      </c>
      <c r="C80">
        <v>9.6999999999999993</v>
      </c>
      <c r="D80">
        <v>9.969177860822338</v>
      </c>
      <c r="E80" s="4">
        <v>2.7750294930138018</v>
      </c>
      <c r="F80">
        <v>1.7</v>
      </c>
      <c r="G80">
        <v>1.322488805844328</v>
      </c>
      <c r="H80" s="4">
        <v>-22.206540832686585</v>
      </c>
      <c r="I80">
        <v>11.399999999999999</v>
      </c>
      <c r="J80">
        <v>11.291666666666666</v>
      </c>
      <c r="K80" s="4">
        <v>-0.95029239766081153</v>
      </c>
      <c r="L80">
        <v>43.2</v>
      </c>
      <c r="M80">
        <v>41.582441681293091</v>
      </c>
      <c r="N80" s="4">
        <v>-3.7443479599697036</v>
      </c>
      <c r="O80">
        <v>23.2</v>
      </c>
      <c r="P80">
        <v>21.375</v>
      </c>
      <c r="Q80" s="4">
        <v>-7.8663793103448247</v>
      </c>
      <c r="R80">
        <v>64.2</v>
      </c>
      <c r="S80">
        <v>65.010894947324005</v>
      </c>
      <c r="T80" s="4">
        <v>1.2630762419376973</v>
      </c>
      <c r="U80">
        <v>0</v>
      </c>
      <c r="V80">
        <v>0</v>
      </c>
      <c r="W80" s="4">
        <v>0</v>
      </c>
      <c r="X80">
        <v>0</v>
      </c>
      <c r="Y80">
        <v>0</v>
      </c>
      <c r="Z80" s="4">
        <v>0</v>
      </c>
    </row>
    <row r="81" spans="1:26" x14ac:dyDescent="0.2">
      <c r="B81" t="s">
        <v>14</v>
      </c>
      <c r="C81">
        <v>4.8</v>
      </c>
      <c r="D81">
        <v>5.1743210615420132</v>
      </c>
      <c r="E81" s="4">
        <v>7.7983554487919466</v>
      </c>
      <c r="F81">
        <v>1.6</v>
      </c>
      <c r="G81">
        <v>1.2840122717913198</v>
      </c>
      <c r="H81" s="4">
        <v>-19.749233013042517</v>
      </c>
      <c r="I81">
        <v>6.4</v>
      </c>
      <c r="J81">
        <v>6.458333333333333</v>
      </c>
      <c r="K81" s="4">
        <v>0.91145833333332316</v>
      </c>
      <c r="L81">
        <v>41.6</v>
      </c>
      <c r="M81">
        <v>40.797992521037393</v>
      </c>
      <c r="N81" s="4">
        <v>-1.9279025936601153</v>
      </c>
      <c r="O81">
        <v>24.1</v>
      </c>
      <c r="P81">
        <v>23.125</v>
      </c>
      <c r="Q81" s="4">
        <v>-4.045643153526977</v>
      </c>
      <c r="R81">
        <v>61.1</v>
      </c>
      <c r="S81">
        <v>73.278954812960933</v>
      </c>
      <c r="T81" s="4">
        <v>19.932822934469609</v>
      </c>
      <c r="U81">
        <v>30.5</v>
      </c>
      <c r="V81">
        <v>23.48339993616429</v>
      </c>
      <c r="W81" s="4">
        <v>-7.0166000638357104</v>
      </c>
      <c r="X81">
        <v>65.5</v>
      </c>
      <c r="Y81">
        <v>59.988553032383514</v>
      </c>
      <c r="Z81" s="4">
        <v>-5.5114469676164859</v>
      </c>
    </row>
    <row r="82" spans="1:26" x14ac:dyDescent="0.2">
      <c r="B82" t="s">
        <v>15</v>
      </c>
      <c r="C82">
        <v>4.7</v>
      </c>
      <c r="D82">
        <v>5.0858533323416761</v>
      </c>
      <c r="E82" s="4">
        <v>8.2096453689718274</v>
      </c>
      <c r="F82">
        <v>1.8</v>
      </c>
      <c r="G82">
        <v>2.1224800009916569</v>
      </c>
      <c r="H82" s="4">
        <v>17.915555610647601</v>
      </c>
      <c r="I82">
        <v>6.5</v>
      </c>
      <c r="J82">
        <v>7.208333333333333</v>
      </c>
      <c r="K82" s="4">
        <v>10.897435897435894</v>
      </c>
      <c r="L82">
        <v>37.5</v>
      </c>
      <c r="M82">
        <v>35.018765483851894</v>
      </c>
      <c r="N82" s="4">
        <v>-6.6166253763949499</v>
      </c>
      <c r="O82">
        <v>25.6</v>
      </c>
      <c r="P82">
        <v>15.541666666666666</v>
      </c>
      <c r="Q82" s="4">
        <v>-39.290364583333336</v>
      </c>
      <c r="R82">
        <v>60.9</v>
      </c>
      <c r="S82">
        <v>65.318660012915984</v>
      </c>
      <c r="T82" s="4">
        <v>7.2555993643940653</v>
      </c>
      <c r="U82">
        <v>0</v>
      </c>
      <c r="V82">
        <v>0</v>
      </c>
      <c r="W82" s="4">
        <v>0</v>
      </c>
      <c r="X82">
        <v>0</v>
      </c>
      <c r="Y82">
        <v>0</v>
      </c>
      <c r="Z82" s="4">
        <v>0</v>
      </c>
    </row>
    <row r="83" spans="1:26" x14ac:dyDescent="0.2">
      <c r="B83" t="s">
        <v>16</v>
      </c>
      <c r="C83">
        <v>4.8</v>
      </c>
      <c r="D83">
        <v>5.1370139935327259</v>
      </c>
      <c r="E83" s="4">
        <v>7.0211248652651275</v>
      </c>
      <c r="F83">
        <v>1.6</v>
      </c>
      <c r="G83">
        <v>1.4046526731339402</v>
      </c>
      <c r="H83" s="4">
        <v>-12.209207929128747</v>
      </c>
      <c r="I83">
        <v>6.4</v>
      </c>
      <c r="J83">
        <v>6.5416666666666661</v>
      </c>
      <c r="K83" s="4">
        <v>2.2135416666666519</v>
      </c>
      <c r="L83">
        <v>43.4</v>
      </c>
      <c r="M83">
        <v>43.20430500496915</v>
      </c>
      <c r="N83" s="4">
        <v>-0.4509101267991899</v>
      </c>
      <c r="O83">
        <v>27.9</v>
      </c>
      <c r="P83">
        <v>31.541666666666664</v>
      </c>
      <c r="Q83" s="4">
        <v>13.052568697729985</v>
      </c>
      <c r="R83">
        <v>62</v>
      </c>
      <c r="S83">
        <v>72.54749433385247</v>
      </c>
      <c r="T83" s="4">
        <v>17.012087635245919</v>
      </c>
      <c r="U83">
        <v>0</v>
      </c>
      <c r="V83">
        <v>0</v>
      </c>
      <c r="W83" s="4">
        <v>0</v>
      </c>
      <c r="X83">
        <v>0</v>
      </c>
      <c r="Y83">
        <v>0</v>
      </c>
      <c r="Z83" s="4">
        <v>0</v>
      </c>
    </row>
    <row r="84" spans="1:26" x14ac:dyDescent="0.2">
      <c r="B84" t="s">
        <v>17</v>
      </c>
      <c r="C84">
        <v>4.9000000000000004</v>
      </c>
      <c r="D84">
        <v>5.2379522821722588</v>
      </c>
      <c r="E84" s="4">
        <v>6.8969853504542549</v>
      </c>
      <c r="F84">
        <v>1.6</v>
      </c>
      <c r="G84">
        <v>1.3870477178277412</v>
      </c>
      <c r="H84" s="4">
        <v>-13.309517635766182</v>
      </c>
      <c r="I84">
        <v>6.5</v>
      </c>
      <c r="J84">
        <v>6.625</v>
      </c>
      <c r="K84" s="4">
        <v>1.9230769230769231</v>
      </c>
      <c r="L84">
        <v>39.4</v>
      </c>
      <c r="M84">
        <v>39.189505965319753</v>
      </c>
      <c r="N84" s="4">
        <v>-0.53424881898539356</v>
      </c>
      <c r="O84">
        <v>25</v>
      </c>
      <c r="P84">
        <v>28.375</v>
      </c>
      <c r="Q84" s="4">
        <v>13.5</v>
      </c>
      <c r="R84">
        <v>66.2</v>
      </c>
      <c r="S84">
        <v>72.29442861390379</v>
      </c>
      <c r="T84" s="4">
        <v>9.2060855194921256</v>
      </c>
      <c r="U84">
        <v>0</v>
      </c>
      <c r="V84">
        <v>0</v>
      </c>
      <c r="W84" s="4">
        <v>0</v>
      </c>
      <c r="X84">
        <v>0</v>
      </c>
      <c r="Y84">
        <v>0</v>
      </c>
      <c r="Z84" s="4">
        <v>0</v>
      </c>
    </row>
    <row r="85" spans="1:26" x14ac:dyDescent="0.2">
      <c r="B85" t="s">
        <v>18</v>
      </c>
      <c r="C85">
        <v>4.7</v>
      </c>
      <c r="D85">
        <v>4.9281714116675479</v>
      </c>
      <c r="E85" s="4">
        <v>4.8547108865435691</v>
      </c>
      <c r="F85">
        <v>1.8</v>
      </c>
      <c r="G85">
        <v>1.5301619216657851</v>
      </c>
      <c r="H85" s="4">
        <v>-14.991004351900827</v>
      </c>
      <c r="I85">
        <v>6.5</v>
      </c>
      <c r="J85">
        <v>6.458333333333333</v>
      </c>
      <c r="K85" s="4">
        <v>-0.64102564102564563</v>
      </c>
      <c r="L85">
        <v>32.9</v>
      </c>
      <c r="M85">
        <v>32.523425177960888</v>
      </c>
      <c r="N85" s="4">
        <v>-1.1446043223073263</v>
      </c>
      <c r="O85">
        <v>17.3</v>
      </c>
      <c r="P85">
        <v>16.041666666666664</v>
      </c>
      <c r="Q85" s="4">
        <v>-7.2736030828516558</v>
      </c>
      <c r="R85">
        <v>66.5</v>
      </c>
      <c r="S85">
        <v>70.706969960135496</v>
      </c>
      <c r="T85" s="4">
        <v>6.3262706167451057</v>
      </c>
      <c r="U85">
        <v>66.599999999999994</v>
      </c>
      <c r="V85">
        <v>55.457074808517319</v>
      </c>
      <c r="W85" s="4">
        <v>-11.142925191482675</v>
      </c>
      <c r="X85">
        <v>83.6</v>
      </c>
      <c r="Y85">
        <v>77.226813894723577</v>
      </c>
      <c r="Z85" s="4">
        <v>-6.3731861052764174</v>
      </c>
    </row>
    <row r="86" spans="1:26" x14ac:dyDescent="0.2">
      <c r="B86" t="s">
        <v>19</v>
      </c>
      <c r="C86">
        <v>5.2</v>
      </c>
      <c r="D86">
        <v>5.4846948655696917</v>
      </c>
      <c r="E86" s="4">
        <v>5.4749012609556047</v>
      </c>
      <c r="F86">
        <v>1.6</v>
      </c>
      <c r="G86">
        <v>1.3069718010969744</v>
      </c>
      <c r="H86" s="4">
        <v>-18.314262431439104</v>
      </c>
      <c r="I86">
        <v>6.8000000000000007</v>
      </c>
      <c r="J86">
        <v>6.7916666666666661</v>
      </c>
      <c r="K86" s="4">
        <v>-0.12254901960786228</v>
      </c>
      <c r="L86">
        <v>35</v>
      </c>
      <c r="M86">
        <v>33.417340279458287</v>
      </c>
      <c r="N86" s="4">
        <v>-4.521884915833466</v>
      </c>
      <c r="O86">
        <v>15.9</v>
      </c>
      <c r="P86">
        <v>13.958333333333332</v>
      </c>
      <c r="Q86" s="4">
        <v>-12.21174004192873</v>
      </c>
      <c r="R86">
        <v>66.099999999999994</v>
      </c>
      <c r="S86">
        <v>72.612995050730504</v>
      </c>
      <c r="T86" s="4">
        <v>9.8532451599553852</v>
      </c>
      <c r="U86">
        <v>0</v>
      </c>
      <c r="V86">
        <v>0</v>
      </c>
      <c r="W86" s="4">
        <v>0</v>
      </c>
      <c r="X86">
        <v>0</v>
      </c>
      <c r="Y86">
        <v>0</v>
      </c>
      <c r="Z86" s="4">
        <v>0</v>
      </c>
    </row>
    <row r="87" spans="1:26" x14ac:dyDescent="0.2">
      <c r="B87" t="s">
        <v>20</v>
      </c>
      <c r="C87">
        <v>5.0999999999999996</v>
      </c>
      <c r="D87">
        <v>5.3951114523350849</v>
      </c>
      <c r="E87" s="4">
        <v>5.78649906539383</v>
      </c>
      <c r="F87">
        <v>1.8</v>
      </c>
      <c r="G87">
        <v>1.6465552143315811</v>
      </c>
      <c r="H87" s="4">
        <v>-8.524710314912161</v>
      </c>
      <c r="I87">
        <v>6.8999999999999995</v>
      </c>
      <c r="J87">
        <v>7.0416666666666661</v>
      </c>
      <c r="K87" s="4">
        <v>2.0531400966183568</v>
      </c>
      <c r="L87">
        <v>35.4</v>
      </c>
      <c r="M87">
        <v>34.5074538076409</v>
      </c>
      <c r="N87" s="4">
        <v>-2.5213169275680758</v>
      </c>
      <c r="O87">
        <v>22.5</v>
      </c>
      <c r="P87">
        <v>23.958333333333332</v>
      </c>
      <c r="Q87" s="4">
        <v>6.4814814814814756</v>
      </c>
      <c r="R87">
        <v>63.1</v>
      </c>
      <c r="S87">
        <v>69.190610230995119</v>
      </c>
      <c r="T87" s="4">
        <v>9.6523141537165102</v>
      </c>
      <c r="U87">
        <v>0</v>
      </c>
      <c r="V87">
        <v>0</v>
      </c>
      <c r="W87" s="4">
        <v>0</v>
      </c>
      <c r="X87">
        <v>0</v>
      </c>
      <c r="Y87">
        <v>0</v>
      </c>
      <c r="Z87" s="4">
        <v>0</v>
      </c>
    </row>
    <row r="88" spans="1:26" x14ac:dyDescent="0.2">
      <c r="B88" t="s">
        <v>21</v>
      </c>
      <c r="C88">
        <v>4.7</v>
      </c>
      <c r="D88">
        <v>5.0799879224856213</v>
      </c>
      <c r="E88" s="4">
        <v>8.0848494145876817</v>
      </c>
      <c r="F88">
        <v>2</v>
      </c>
      <c r="G88">
        <v>1.6283454108477118</v>
      </c>
      <c r="H88" s="4">
        <v>-18.582729457614413</v>
      </c>
      <c r="I88">
        <v>6.7</v>
      </c>
      <c r="J88">
        <v>6.708333333333333</v>
      </c>
      <c r="K88" s="4">
        <v>0.12437810945272924</v>
      </c>
      <c r="L88">
        <v>34.700000000000003</v>
      </c>
      <c r="M88">
        <v>34.438104183658368</v>
      </c>
      <c r="N88" s="4">
        <v>-0.75474298657531746</v>
      </c>
      <c r="O88">
        <v>23.1</v>
      </c>
      <c r="P88">
        <v>26.375</v>
      </c>
      <c r="Q88" s="4">
        <v>14.17748917748917</v>
      </c>
      <c r="R88">
        <v>60.8</v>
      </c>
      <c r="S88">
        <v>69.993674424706953</v>
      </c>
      <c r="T88" s="4">
        <v>15.121175040636443</v>
      </c>
      <c r="U88">
        <v>0</v>
      </c>
      <c r="V88">
        <v>0</v>
      </c>
      <c r="W88" s="4">
        <v>0</v>
      </c>
      <c r="X88">
        <v>0</v>
      </c>
      <c r="Y88">
        <v>0</v>
      </c>
      <c r="Z88" s="4">
        <v>0</v>
      </c>
    </row>
    <row r="89" spans="1:26" x14ac:dyDescent="0.2">
      <c r="B89" t="s">
        <v>22</v>
      </c>
      <c r="C89">
        <v>4.8</v>
      </c>
      <c r="D89">
        <v>5.1060472091278779</v>
      </c>
      <c r="E89" s="4">
        <v>6.3759835234974611</v>
      </c>
      <c r="F89">
        <v>2.2000000000000002</v>
      </c>
      <c r="G89">
        <v>1.7689527908721221</v>
      </c>
      <c r="H89" s="4">
        <v>-19.593054960358096</v>
      </c>
      <c r="I89">
        <v>7</v>
      </c>
      <c r="J89">
        <v>6.875</v>
      </c>
      <c r="K89" s="4">
        <v>-1.7857142857142856</v>
      </c>
      <c r="L89">
        <v>33.700000000000003</v>
      </c>
      <c r="M89">
        <v>33.038864525918378</v>
      </c>
      <c r="N89" s="4">
        <v>-1.9618263325864254</v>
      </c>
      <c r="O89">
        <v>19.2</v>
      </c>
      <c r="P89">
        <v>18.625</v>
      </c>
      <c r="Q89" s="4">
        <v>-2.994791666666663</v>
      </c>
      <c r="R89">
        <v>51.5</v>
      </c>
      <c r="S89">
        <v>68.303238504482067</v>
      </c>
      <c r="T89" s="4">
        <v>32.627647581518573</v>
      </c>
      <c r="U89">
        <v>38.4</v>
      </c>
      <c r="V89">
        <v>31.591064236095917</v>
      </c>
      <c r="W89" s="4">
        <v>-6.8089357639040813</v>
      </c>
      <c r="X89">
        <v>69.599999999999994</v>
      </c>
      <c r="Y89">
        <v>64.497301855273932</v>
      </c>
      <c r="Z89" s="4">
        <v>-5.1026981447260624</v>
      </c>
    </row>
    <row r="90" spans="1:26" x14ac:dyDescent="0.2">
      <c r="A90" s="1" t="s">
        <v>331</v>
      </c>
      <c r="B90" t="s">
        <v>1</v>
      </c>
      <c r="C90">
        <v>4.2</v>
      </c>
      <c r="D90">
        <v>4.5400606485375068</v>
      </c>
      <c r="E90" s="4">
        <v>8.0966821080358713</v>
      </c>
      <c r="F90">
        <v>1.6</v>
      </c>
      <c r="G90">
        <v>1.4182726847958262</v>
      </c>
      <c r="H90" s="4">
        <v>-11.357957200260865</v>
      </c>
      <c r="I90">
        <v>5.8000000000000007</v>
      </c>
      <c r="J90">
        <v>5.958333333333333</v>
      </c>
      <c r="K90" s="4">
        <v>2.7298850574712468</v>
      </c>
      <c r="L90">
        <v>50.8</v>
      </c>
      <c r="M90">
        <v>52.265841467288553</v>
      </c>
      <c r="N90" s="4">
        <v>2.8855146993869205</v>
      </c>
      <c r="O90">
        <v>31.2</v>
      </c>
      <c r="P90">
        <v>39.208333333333329</v>
      </c>
      <c r="Q90" s="4">
        <v>25.667735042735028</v>
      </c>
      <c r="R90">
        <v>66.400000000000006</v>
      </c>
      <c r="S90">
        <v>73.952212533610734</v>
      </c>
      <c r="T90" s="4">
        <v>11.373814056642662</v>
      </c>
      <c r="U90">
        <v>0</v>
      </c>
      <c r="V90">
        <v>0</v>
      </c>
      <c r="W90" s="4">
        <v>0</v>
      </c>
      <c r="X90">
        <v>0</v>
      </c>
      <c r="Y90">
        <v>0</v>
      </c>
      <c r="Z90" s="4">
        <v>0</v>
      </c>
    </row>
    <row r="91" spans="1:26" x14ac:dyDescent="0.2">
      <c r="B91" t="s">
        <v>2</v>
      </c>
      <c r="C91">
        <v>4</v>
      </c>
      <c r="D91">
        <v>4.3074135968153762</v>
      </c>
      <c r="E91" s="4">
        <v>7.6853399203844042</v>
      </c>
      <c r="F91">
        <v>1.7</v>
      </c>
      <c r="G91">
        <v>1.4842530698512899</v>
      </c>
      <c r="H91" s="4">
        <v>-12.690995891100593</v>
      </c>
      <c r="I91">
        <v>5.7</v>
      </c>
      <c r="J91">
        <v>5.7916666666666661</v>
      </c>
      <c r="K91" s="4">
        <v>1.6081871345029104</v>
      </c>
      <c r="L91">
        <v>44.1</v>
      </c>
      <c r="M91">
        <v>43.901170157673178</v>
      </c>
      <c r="N91" s="4">
        <v>-0.45086132046898708</v>
      </c>
      <c r="O91">
        <v>28.8</v>
      </c>
      <c r="P91">
        <v>31.791666666666664</v>
      </c>
      <c r="Q91" s="4">
        <v>10.38773148148147</v>
      </c>
      <c r="R91">
        <v>64.5</v>
      </c>
      <c r="S91">
        <v>73.11952528294502</v>
      </c>
      <c r="T91" s="4">
        <v>13.363605089837241</v>
      </c>
      <c r="U91">
        <v>0</v>
      </c>
      <c r="V91">
        <v>0</v>
      </c>
      <c r="W91" s="4">
        <v>0</v>
      </c>
      <c r="X91">
        <v>0</v>
      </c>
      <c r="Y91">
        <v>0</v>
      </c>
      <c r="Z91" s="4">
        <v>0</v>
      </c>
    </row>
    <row r="92" spans="1:26" x14ac:dyDescent="0.2">
      <c r="B92" t="s">
        <v>3</v>
      </c>
      <c r="C92">
        <v>4.5999999999999996</v>
      </c>
      <c r="D92">
        <v>4.7997875180405449</v>
      </c>
      <c r="E92" s="4">
        <v>4.3432069139248979</v>
      </c>
      <c r="F92">
        <v>1.8</v>
      </c>
      <c r="G92">
        <v>1.6585458152927881</v>
      </c>
      <c r="H92" s="4">
        <v>-7.8585658170673298</v>
      </c>
      <c r="I92">
        <v>6.3999999999999995</v>
      </c>
      <c r="J92">
        <v>6.458333333333333</v>
      </c>
      <c r="K92" s="4">
        <v>0.91145833333333703</v>
      </c>
      <c r="L92">
        <v>48.3</v>
      </c>
      <c r="M92">
        <v>48.044813668654243</v>
      </c>
      <c r="N92" s="4">
        <v>-0.52833608974276303</v>
      </c>
      <c r="O92">
        <v>34.299999999999997</v>
      </c>
      <c r="P92">
        <v>36.041666666666664</v>
      </c>
      <c r="Q92" s="4">
        <v>5.0777453838678346</v>
      </c>
      <c r="R92">
        <v>62.6</v>
      </c>
      <c r="S92">
        <v>70.573966497489749</v>
      </c>
      <c r="T92" s="4">
        <v>12.73796565094209</v>
      </c>
      <c r="U92">
        <v>0</v>
      </c>
      <c r="V92">
        <v>0</v>
      </c>
      <c r="W92" s="4">
        <v>0</v>
      </c>
      <c r="X92">
        <v>0</v>
      </c>
      <c r="Y92">
        <v>0</v>
      </c>
      <c r="Z92" s="4">
        <v>0</v>
      </c>
    </row>
    <row r="93" spans="1:26" x14ac:dyDescent="0.2">
      <c r="B93" t="s">
        <v>4</v>
      </c>
      <c r="C93">
        <v>4.2</v>
      </c>
      <c r="D93">
        <v>4.5832588390668274</v>
      </c>
      <c r="E93" s="4">
        <v>9.1252104539720769</v>
      </c>
      <c r="F93">
        <v>1.3</v>
      </c>
      <c r="G93">
        <v>1.0417411609331726</v>
      </c>
      <c r="H93" s="4">
        <v>-19.866064543602111</v>
      </c>
      <c r="I93">
        <v>5.5</v>
      </c>
      <c r="J93">
        <v>5.625</v>
      </c>
      <c r="K93" s="4">
        <v>2.2727272727272729</v>
      </c>
      <c r="L93">
        <v>48.4</v>
      </c>
      <c r="M93">
        <v>48.007290520552758</v>
      </c>
      <c r="N93" s="4">
        <v>-0.81138322199843183</v>
      </c>
      <c r="O93">
        <v>22.8</v>
      </c>
      <c r="P93">
        <v>23.625</v>
      </c>
      <c r="Q93" s="4">
        <v>3.6184210526315757</v>
      </c>
      <c r="R93">
        <v>69.599999999999994</v>
      </c>
      <c r="S93">
        <v>78.727120578352995</v>
      </c>
      <c r="T93" s="4">
        <v>13.113678991886497</v>
      </c>
      <c r="U93">
        <v>34.9</v>
      </c>
      <c r="V93">
        <v>33.355647750943206</v>
      </c>
      <c r="W93" s="4">
        <v>-1.5443522490567929</v>
      </c>
      <c r="X93">
        <v>68.099999999999994</v>
      </c>
      <c r="Y93">
        <v>65.790626175241471</v>
      </c>
      <c r="Z93" s="4">
        <v>-2.3093738247585236</v>
      </c>
    </row>
    <row r="94" spans="1:26" x14ac:dyDescent="0.2">
      <c r="B94" t="s">
        <v>5</v>
      </c>
      <c r="C94">
        <v>4.3</v>
      </c>
      <c r="D94">
        <v>4.6529454558085099</v>
      </c>
      <c r="E94" s="4">
        <v>8.2080338560118626</v>
      </c>
      <c r="F94">
        <v>2.4</v>
      </c>
      <c r="G94">
        <v>2.1387212108581561</v>
      </c>
      <c r="H94" s="4">
        <v>-10.886616214243491</v>
      </c>
      <c r="I94">
        <v>6.6999999999999993</v>
      </c>
      <c r="J94">
        <v>6.7916666666666661</v>
      </c>
      <c r="K94" s="4">
        <v>1.3681592039801014</v>
      </c>
      <c r="L94">
        <v>32.200000000000003</v>
      </c>
      <c r="M94">
        <v>32.441807399808035</v>
      </c>
      <c r="N94" s="4">
        <v>0.75095465778891812</v>
      </c>
      <c r="O94">
        <v>20.100000000000001</v>
      </c>
      <c r="P94">
        <v>24.791666666666664</v>
      </c>
      <c r="Q94" s="4">
        <v>23.341625207296829</v>
      </c>
      <c r="R94">
        <v>58.2</v>
      </c>
      <c r="S94">
        <v>67.033201901122311</v>
      </c>
      <c r="T94" s="4">
        <v>15.177322854162039</v>
      </c>
      <c r="U94">
        <v>0</v>
      </c>
      <c r="V94">
        <v>0</v>
      </c>
      <c r="W94" s="4">
        <v>0</v>
      </c>
      <c r="X94">
        <v>0</v>
      </c>
      <c r="Y94">
        <v>0</v>
      </c>
      <c r="Z94" s="4">
        <v>0</v>
      </c>
    </row>
    <row r="95" spans="1:26" x14ac:dyDescent="0.2">
      <c r="B95" t="s">
        <v>6</v>
      </c>
      <c r="C95">
        <v>4.2</v>
      </c>
      <c r="D95">
        <v>4.5869049939179263</v>
      </c>
      <c r="E95" s="4">
        <v>9.2120236647125271</v>
      </c>
      <c r="F95">
        <v>1.8</v>
      </c>
      <c r="G95">
        <v>1.3714283394154068</v>
      </c>
      <c r="H95" s="4">
        <v>-23.809536699144072</v>
      </c>
      <c r="I95">
        <v>6</v>
      </c>
      <c r="J95">
        <v>5.958333333333333</v>
      </c>
      <c r="K95" s="4">
        <v>-0.6944444444444493</v>
      </c>
      <c r="L95">
        <v>39.299999999999997</v>
      </c>
      <c r="M95">
        <v>39.006885217781118</v>
      </c>
      <c r="N95" s="4">
        <v>-0.74583914050605371</v>
      </c>
      <c r="O95">
        <v>20.8</v>
      </c>
      <c r="P95">
        <v>22.375</v>
      </c>
      <c r="Q95" s="4">
        <v>7.5721153846153815</v>
      </c>
      <c r="R95">
        <v>63.8</v>
      </c>
      <c r="S95">
        <v>72.74369373357456</v>
      </c>
      <c r="T95" s="4">
        <v>14.018328736010286</v>
      </c>
      <c r="U95">
        <v>1</v>
      </c>
      <c r="V95">
        <v>0</v>
      </c>
      <c r="W95" s="4">
        <v>-1</v>
      </c>
      <c r="X95">
        <v>35.5</v>
      </c>
      <c r="Y95">
        <v>34.903559806507928</v>
      </c>
      <c r="Z95" s="4">
        <v>-0.59644019349207156</v>
      </c>
    </row>
    <row r="96" spans="1:26" x14ac:dyDescent="0.2">
      <c r="B96" t="s">
        <v>7</v>
      </c>
      <c r="C96">
        <v>4.4000000000000004</v>
      </c>
      <c r="D96">
        <v>4.7207972500089621</v>
      </c>
      <c r="E96" s="4">
        <v>7.2908465911127669</v>
      </c>
      <c r="F96">
        <v>1.3</v>
      </c>
      <c r="G96">
        <v>1.070869416657704</v>
      </c>
      <c r="H96" s="4">
        <v>-17.625429487868928</v>
      </c>
      <c r="I96">
        <v>5.7</v>
      </c>
      <c r="J96">
        <v>5.7916666666666661</v>
      </c>
      <c r="K96" s="4">
        <v>1.6081871345029104</v>
      </c>
      <c r="L96">
        <v>49.3</v>
      </c>
      <c r="M96">
        <v>49.416533532618971</v>
      </c>
      <c r="N96" s="4">
        <v>0.23637633391272489</v>
      </c>
      <c r="O96">
        <v>26.9</v>
      </c>
      <c r="P96">
        <v>30.958333333333332</v>
      </c>
      <c r="Q96" s="4">
        <v>15.086741016109048</v>
      </c>
      <c r="R96">
        <v>69.099999999999994</v>
      </c>
      <c r="S96">
        <v>77.392304050356202</v>
      </c>
      <c r="T96" s="4">
        <v>12.000440014987277</v>
      </c>
      <c r="U96">
        <v>0</v>
      </c>
      <c r="V96">
        <v>0</v>
      </c>
      <c r="W96" s="4">
        <v>0</v>
      </c>
      <c r="X96">
        <v>0</v>
      </c>
      <c r="Y96">
        <v>0</v>
      </c>
      <c r="Z96" s="4">
        <v>0</v>
      </c>
    </row>
    <row r="97" spans="1:26" x14ac:dyDescent="0.2">
      <c r="B97" t="s">
        <v>8</v>
      </c>
      <c r="C97">
        <v>4.7</v>
      </c>
      <c r="D97">
        <v>5.0496492455232467</v>
      </c>
      <c r="E97" s="4">
        <v>7.4393456494307761</v>
      </c>
      <c r="F97">
        <v>2.2000000000000002</v>
      </c>
      <c r="G97">
        <v>1.8253507544767533</v>
      </c>
      <c r="H97" s="4">
        <v>-17.029511160147585</v>
      </c>
      <c r="I97">
        <v>6.9</v>
      </c>
      <c r="J97">
        <v>6.875</v>
      </c>
      <c r="K97" s="4">
        <v>-0.36231884057971525</v>
      </c>
      <c r="L97">
        <v>38</v>
      </c>
      <c r="M97">
        <v>39.128082204196581</v>
      </c>
      <c r="N97" s="4">
        <v>2.9686373794646856</v>
      </c>
      <c r="O97">
        <v>25.4</v>
      </c>
      <c r="P97">
        <v>33.125</v>
      </c>
      <c r="Q97" s="4">
        <v>30.413385826771659</v>
      </c>
      <c r="R97">
        <v>62.5</v>
      </c>
      <c r="S97">
        <v>68.053505445335148</v>
      </c>
      <c r="T97" s="4">
        <v>8.8856087125362357</v>
      </c>
      <c r="U97">
        <v>0</v>
      </c>
      <c r="V97">
        <v>0</v>
      </c>
      <c r="W97" s="4">
        <v>0</v>
      </c>
      <c r="X97">
        <v>0</v>
      </c>
      <c r="Y97">
        <v>0</v>
      </c>
      <c r="Z97" s="4">
        <v>0</v>
      </c>
    </row>
    <row r="98" spans="1:26" x14ac:dyDescent="0.2">
      <c r="B98" t="s">
        <v>9</v>
      </c>
      <c r="C98">
        <v>4.8</v>
      </c>
      <c r="D98">
        <v>5.0309607612160665</v>
      </c>
      <c r="E98" s="4">
        <v>4.8116825253347226</v>
      </c>
      <c r="F98">
        <v>1.7</v>
      </c>
      <c r="G98">
        <v>1.5107059054505996</v>
      </c>
      <c r="H98" s="4">
        <v>-11.134946738200023</v>
      </c>
      <c r="I98">
        <v>6.5</v>
      </c>
      <c r="J98">
        <v>6.5416666666666661</v>
      </c>
      <c r="K98" s="4">
        <v>0.64102564102563186</v>
      </c>
      <c r="L98">
        <v>47.4</v>
      </c>
      <c r="M98">
        <v>48.041119832813564</v>
      </c>
      <c r="N98" s="4">
        <v>1.3525734869484503</v>
      </c>
      <c r="O98">
        <v>30.1</v>
      </c>
      <c r="P98">
        <v>36.541666666666664</v>
      </c>
      <c r="Q98" s="4">
        <v>21.400885935769644</v>
      </c>
      <c r="R98">
        <v>64.7</v>
      </c>
      <c r="S98">
        <v>71.643290519349165</v>
      </c>
      <c r="T98" s="4">
        <v>10.73151548585651</v>
      </c>
      <c r="U98">
        <v>0</v>
      </c>
      <c r="V98">
        <v>0</v>
      </c>
      <c r="W98" s="4">
        <v>0</v>
      </c>
      <c r="X98">
        <v>0</v>
      </c>
      <c r="Y98">
        <v>0</v>
      </c>
      <c r="Z98" s="4">
        <v>0</v>
      </c>
    </row>
    <row r="99" spans="1:26" x14ac:dyDescent="0.2">
      <c r="B99" t="s">
        <v>10</v>
      </c>
      <c r="C99">
        <v>4.5</v>
      </c>
      <c r="D99">
        <v>4.7975187422520396</v>
      </c>
      <c r="E99" s="4">
        <v>6.6115276056008794</v>
      </c>
      <c r="F99">
        <v>2.1</v>
      </c>
      <c r="G99">
        <v>1.9108145910812935</v>
      </c>
      <c r="H99" s="4">
        <v>-9.0088289961288854</v>
      </c>
      <c r="I99">
        <v>6.6</v>
      </c>
      <c r="J99">
        <v>6.708333333333333</v>
      </c>
      <c r="K99" s="4">
        <v>1.6414141414141423</v>
      </c>
      <c r="L99">
        <v>38.299999999999997</v>
      </c>
      <c r="M99">
        <v>38.77206141034867</v>
      </c>
      <c r="N99" s="4">
        <v>1.2325363194482308</v>
      </c>
      <c r="O99">
        <v>24.4</v>
      </c>
      <c r="P99">
        <v>29.958333333333332</v>
      </c>
      <c r="Q99" s="4">
        <v>22.780054644808743</v>
      </c>
      <c r="R99">
        <v>61.2</v>
      </c>
      <c r="S99">
        <v>68.26458457890638</v>
      </c>
      <c r="T99" s="4">
        <v>11.543438854422185</v>
      </c>
      <c r="U99">
        <v>0</v>
      </c>
      <c r="V99">
        <v>0</v>
      </c>
      <c r="W99" s="4">
        <v>0</v>
      </c>
      <c r="X99">
        <v>0</v>
      </c>
      <c r="Y99">
        <v>0</v>
      </c>
      <c r="Z99" s="4">
        <v>0</v>
      </c>
    </row>
    <row r="100" spans="1:26" x14ac:dyDescent="0.2">
      <c r="B100" t="s">
        <v>11</v>
      </c>
      <c r="C100">
        <v>5</v>
      </c>
      <c r="D100">
        <v>5.3788465568800188</v>
      </c>
      <c r="E100" s="4">
        <v>7.5769311376003765</v>
      </c>
      <c r="F100">
        <v>2.2000000000000002</v>
      </c>
      <c r="G100">
        <v>1.9128201097866473</v>
      </c>
      <c r="H100" s="4">
        <v>-13.053631373334222</v>
      </c>
      <c r="I100">
        <v>7.2</v>
      </c>
      <c r="J100">
        <v>7.2916666666666661</v>
      </c>
      <c r="K100" s="4">
        <v>1.2731481481481375</v>
      </c>
      <c r="L100">
        <v>38.5</v>
      </c>
      <c r="M100">
        <v>38.474689672630326</v>
      </c>
      <c r="N100" s="4">
        <v>-6.5741110051100657E-2</v>
      </c>
      <c r="O100">
        <v>28.2</v>
      </c>
      <c r="P100">
        <v>31.791666666666664</v>
      </c>
      <c r="Q100" s="4">
        <v>12.736406619385338</v>
      </c>
      <c r="R100">
        <v>60.9</v>
      </c>
      <c r="S100">
        <v>66.057467095376495</v>
      </c>
      <c r="T100" s="4">
        <v>8.4687472830484349</v>
      </c>
      <c r="U100">
        <v>0</v>
      </c>
      <c r="V100">
        <v>0</v>
      </c>
      <c r="W100" s="4">
        <v>0</v>
      </c>
      <c r="X100">
        <v>0</v>
      </c>
      <c r="Y100">
        <v>0</v>
      </c>
      <c r="Z100" s="4">
        <v>0</v>
      </c>
    </row>
    <row r="101" spans="1:26" x14ac:dyDescent="0.2">
      <c r="B101" t="s">
        <v>12</v>
      </c>
      <c r="C101">
        <v>6.8</v>
      </c>
      <c r="D101">
        <v>6.8861617407862425</v>
      </c>
      <c r="E101" s="4">
        <v>1.267084423327099</v>
      </c>
      <c r="F101">
        <v>2.2999999999999998</v>
      </c>
      <c r="G101">
        <v>2.3221715925470896</v>
      </c>
      <c r="H101" s="4">
        <v>0.96398228465607738</v>
      </c>
      <c r="I101">
        <v>9.1</v>
      </c>
      <c r="J101">
        <v>9.2083333333333321</v>
      </c>
      <c r="K101" s="4">
        <v>1.1904761904761814</v>
      </c>
      <c r="L101">
        <v>57.9</v>
      </c>
      <c r="M101">
        <v>57.91425389495403</v>
      </c>
      <c r="N101" s="4">
        <v>2.4618126000053461E-2</v>
      </c>
      <c r="O101">
        <v>36.799999999999997</v>
      </c>
      <c r="P101">
        <v>39.875</v>
      </c>
      <c r="Q101" s="4">
        <v>8.3559782608695734</v>
      </c>
      <c r="R101">
        <v>46.4</v>
      </c>
      <c r="S101">
        <v>61.88458320809081</v>
      </c>
      <c r="T101" s="4">
        <v>33.371946569161231</v>
      </c>
      <c r="U101">
        <v>0</v>
      </c>
      <c r="V101">
        <v>0</v>
      </c>
      <c r="W101" s="4">
        <v>0</v>
      </c>
      <c r="X101">
        <v>0</v>
      </c>
      <c r="Y101">
        <v>0</v>
      </c>
      <c r="Z101" s="4">
        <v>0</v>
      </c>
    </row>
    <row r="102" spans="1:26" x14ac:dyDescent="0.2">
      <c r="B102" t="s">
        <v>13</v>
      </c>
      <c r="C102">
        <v>4.8</v>
      </c>
      <c r="D102">
        <v>5.2204026840343065</v>
      </c>
      <c r="E102" s="4">
        <v>8.758389250714723</v>
      </c>
      <c r="F102">
        <v>1.4</v>
      </c>
      <c r="G102">
        <v>1.1545973159656935</v>
      </c>
      <c r="H102" s="4">
        <v>-17.5287631453076</v>
      </c>
      <c r="I102">
        <v>6.1999999999999993</v>
      </c>
      <c r="J102">
        <v>6.375</v>
      </c>
      <c r="K102" s="4">
        <v>2.822580645161302</v>
      </c>
      <c r="L102">
        <v>58.6</v>
      </c>
      <c r="M102">
        <v>58.693507053879273</v>
      </c>
      <c r="N102" s="4">
        <v>0.15956835132981484</v>
      </c>
      <c r="O102">
        <v>38.6</v>
      </c>
      <c r="P102">
        <v>41.208333333333329</v>
      </c>
      <c r="Q102" s="4">
        <v>6.7573402417961841</v>
      </c>
      <c r="R102">
        <v>69.3</v>
      </c>
      <c r="S102">
        <v>75.63273500897526</v>
      </c>
      <c r="T102" s="4">
        <v>9.1381457560970603</v>
      </c>
      <c r="U102">
        <v>0</v>
      </c>
      <c r="V102">
        <v>0</v>
      </c>
      <c r="W102" s="4">
        <v>0</v>
      </c>
      <c r="X102">
        <v>0</v>
      </c>
      <c r="Y102">
        <v>0</v>
      </c>
      <c r="Z102" s="4">
        <v>0</v>
      </c>
    </row>
    <row r="103" spans="1:26" x14ac:dyDescent="0.2">
      <c r="B103" t="s">
        <v>14</v>
      </c>
      <c r="C103">
        <v>4.2</v>
      </c>
      <c r="D103">
        <v>4.5824332056845165</v>
      </c>
      <c r="E103" s="4">
        <v>9.1055525162980064</v>
      </c>
      <c r="F103">
        <v>1.4</v>
      </c>
      <c r="G103">
        <v>1.1259001276488165</v>
      </c>
      <c r="H103" s="4">
        <v>-19.578562310798812</v>
      </c>
      <c r="I103">
        <v>5.6</v>
      </c>
      <c r="J103">
        <v>5.708333333333333</v>
      </c>
      <c r="K103" s="4">
        <v>1.9345238095238106</v>
      </c>
      <c r="L103">
        <v>45.4</v>
      </c>
      <c r="M103">
        <v>44.854438992382811</v>
      </c>
      <c r="N103" s="4">
        <v>-1.2016762282316915</v>
      </c>
      <c r="O103">
        <v>23.8</v>
      </c>
      <c r="P103">
        <v>24.291666666666664</v>
      </c>
      <c r="Q103" s="4">
        <v>2.0658263305322002</v>
      </c>
      <c r="R103">
        <v>67.400000000000006</v>
      </c>
      <c r="S103">
        <v>76.002965101718928</v>
      </c>
      <c r="T103" s="4">
        <v>12.764043177624512</v>
      </c>
      <c r="U103">
        <v>24.3</v>
      </c>
      <c r="V103">
        <v>22.041267785803669</v>
      </c>
      <c r="W103" s="4">
        <v>-2.258732214196332</v>
      </c>
      <c r="X103">
        <v>62.4</v>
      </c>
      <c r="Y103">
        <v>59.504706274442533</v>
      </c>
      <c r="Z103" s="4">
        <v>-2.8952937255574653</v>
      </c>
    </row>
    <row r="104" spans="1:26" x14ac:dyDescent="0.2">
      <c r="B104" t="s">
        <v>15</v>
      </c>
      <c r="C104">
        <v>7</v>
      </c>
      <c r="D104">
        <v>7.2389934012150725</v>
      </c>
      <c r="E104" s="4">
        <v>3.4141914459296077</v>
      </c>
      <c r="F104">
        <v>1.8</v>
      </c>
      <c r="G104">
        <v>1.5526732654515936</v>
      </c>
      <c r="H104" s="4">
        <v>-13.740374141578137</v>
      </c>
      <c r="I104">
        <v>8.8000000000000007</v>
      </c>
      <c r="J104">
        <v>8.7916666666666661</v>
      </c>
      <c r="K104" s="4">
        <v>-9.469696969698449E-2</v>
      </c>
      <c r="L104">
        <v>69.3</v>
      </c>
      <c r="M104">
        <v>68.841975420701203</v>
      </c>
      <c r="N104" s="4">
        <v>-0.66093012885828839</v>
      </c>
      <c r="O104">
        <v>41.9</v>
      </c>
      <c r="P104">
        <v>42.708333333333329</v>
      </c>
      <c r="Q104" s="4">
        <v>1.9291964996022197</v>
      </c>
      <c r="R104">
        <v>60.9</v>
      </c>
      <c r="S104">
        <v>68.636704448324949</v>
      </c>
      <c r="T104" s="4">
        <v>12.70394819100977</v>
      </c>
      <c r="U104">
        <v>0</v>
      </c>
      <c r="V104">
        <v>0</v>
      </c>
      <c r="W104" s="4">
        <v>0</v>
      </c>
      <c r="X104">
        <v>0</v>
      </c>
      <c r="Y104">
        <v>0</v>
      </c>
      <c r="Z104" s="4">
        <v>0</v>
      </c>
    </row>
    <row r="105" spans="1:26" x14ac:dyDescent="0.2">
      <c r="B105" t="s">
        <v>16</v>
      </c>
      <c r="C105">
        <v>4.7</v>
      </c>
      <c r="D105">
        <v>4.9450172675334496</v>
      </c>
      <c r="E105" s="4">
        <v>5.2131333517755198</v>
      </c>
      <c r="F105">
        <v>1.7</v>
      </c>
      <c r="G105">
        <v>1.5133160657998834</v>
      </c>
      <c r="H105" s="4">
        <v>-10.981407894124501</v>
      </c>
      <c r="I105">
        <v>6.4</v>
      </c>
      <c r="J105">
        <v>6.458333333333333</v>
      </c>
      <c r="K105" s="4">
        <v>0.91145833333332316</v>
      </c>
      <c r="L105">
        <v>45.8</v>
      </c>
      <c r="M105">
        <v>45.624153326281089</v>
      </c>
      <c r="N105" s="4">
        <v>-0.38394470244303097</v>
      </c>
      <c r="O105">
        <v>26.2</v>
      </c>
      <c r="P105">
        <v>30.125</v>
      </c>
      <c r="Q105" s="4">
        <v>14.980916030534356</v>
      </c>
      <c r="R105">
        <v>64.3</v>
      </c>
      <c r="S105">
        <v>71.952794616177712</v>
      </c>
      <c r="T105" s="4">
        <v>11.901702357974674</v>
      </c>
      <c r="U105">
        <v>0</v>
      </c>
      <c r="V105">
        <v>0</v>
      </c>
      <c r="W105" s="4">
        <v>0</v>
      </c>
      <c r="X105">
        <v>0</v>
      </c>
      <c r="Y105">
        <v>0</v>
      </c>
      <c r="Z105" s="4">
        <v>0</v>
      </c>
    </row>
    <row r="106" spans="1:26" x14ac:dyDescent="0.2">
      <c r="B106" t="s">
        <v>17</v>
      </c>
      <c r="C106">
        <v>4.8</v>
      </c>
      <c r="D106">
        <v>5.1554195992149534</v>
      </c>
      <c r="E106" s="4">
        <v>7.4045749836448671</v>
      </c>
      <c r="F106">
        <v>1.6</v>
      </c>
      <c r="G106">
        <v>1.2195804007850466</v>
      </c>
      <c r="H106" s="4">
        <v>-23.776224950934594</v>
      </c>
      <c r="I106">
        <v>6.4</v>
      </c>
      <c r="J106">
        <v>6.375</v>
      </c>
      <c r="K106" s="4">
        <v>-0.39062500000000555</v>
      </c>
      <c r="L106">
        <v>50.5</v>
      </c>
      <c r="M106">
        <v>50.050164961666098</v>
      </c>
      <c r="N106" s="4">
        <v>-0.89076245214633976</v>
      </c>
      <c r="O106">
        <v>33.4</v>
      </c>
      <c r="P106">
        <v>33.541666666666664</v>
      </c>
      <c r="Q106" s="4">
        <v>0.42415169660678359</v>
      </c>
      <c r="R106">
        <v>66.8</v>
      </c>
      <c r="S106">
        <v>74.043577102002772</v>
      </c>
      <c r="T106" s="4">
        <v>10.843678296411339</v>
      </c>
      <c r="U106">
        <v>6.2</v>
      </c>
      <c r="V106">
        <v>4.3654991805699837</v>
      </c>
      <c r="W106" s="4">
        <v>-1.8345008194300165</v>
      </c>
      <c r="X106">
        <v>38.799999999999997</v>
      </c>
      <c r="Y106">
        <v>33.010406346619746</v>
      </c>
      <c r="Z106" s="4">
        <v>-5.7895936533802512</v>
      </c>
    </row>
    <row r="107" spans="1:26" x14ac:dyDescent="0.2">
      <c r="B107" t="s">
        <v>18</v>
      </c>
      <c r="C107">
        <v>4.5</v>
      </c>
      <c r="D107">
        <v>4.8331981020380361</v>
      </c>
      <c r="E107" s="4">
        <v>7.4044022675119141</v>
      </c>
      <c r="F107">
        <v>1.8</v>
      </c>
      <c r="G107">
        <v>1.3751352312952969</v>
      </c>
      <c r="H107" s="4">
        <v>-23.603598261372397</v>
      </c>
      <c r="I107">
        <v>6.3</v>
      </c>
      <c r="J107">
        <v>6.208333333333333</v>
      </c>
      <c r="K107" s="4">
        <v>-1.4550264550264571</v>
      </c>
      <c r="L107">
        <v>42.9</v>
      </c>
      <c r="M107">
        <v>42.928587153166049</v>
      </c>
      <c r="N107" s="4">
        <v>6.6636720666784222E-2</v>
      </c>
      <c r="O107">
        <v>27.9</v>
      </c>
      <c r="P107">
        <v>30.541666666666664</v>
      </c>
      <c r="Q107" s="4">
        <v>9.4683393070489821</v>
      </c>
      <c r="R107">
        <v>65</v>
      </c>
      <c r="S107">
        <v>72.347333359610275</v>
      </c>
      <c r="T107" s="4">
        <v>11.303589784015807</v>
      </c>
      <c r="U107">
        <v>0</v>
      </c>
      <c r="V107">
        <v>0</v>
      </c>
      <c r="W107" s="4">
        <v>0</v>
      </c>
      <c r="X107">
        <v>7.8</v>
      </c>
      <c r="Y107">
        <v>6.0719481475374693</v>
      </c>
      <c r="Z107" s="4">
        <v>-1.7280518524625306</v>
      </c>
    </row>
    <row r="108" spans="1:26" x14ac:dyDescent="0.2">
      <c r="B108" t="s">
        <v>19</v>
      </c>
      <c r="C108">
        <v>4.4000000000000004</v>
      </c>
      <c r="D108">
        <v>4.782778427538946</v>
      </c>
      <c r="E108" s="4">
        <v>8.6995097167942177</v>
      </c>
      <c r="F108">
        <v>2.1</v>
      </c>
      <c r="G108">
        <v>1.7588882391277201</v>
      </c>
      <c r="H108" s="4">
        <v>-16.243417184394286</v>
      </c>
      <c r="I108">
        <v>6.5</v>
      </c>
      <c r="J108">
        <v>6.5416666666666661</v>
      </c>
      <c r="K108" s="4">
        <v>0.64102564102563186</v>
      </c>
      <c r="L108">
        <v>39.700000000000003</v>
      </c>
      <c r="M108">
        <v>38.922750290301948</v>
      </c>
      <c r="N108" s="4">
        <v>-1.9578078329925801</v>
      </c>
      <c r="O108">
        <v>24.8</v>
      </c>
      <c r="P108">
        <v>26.541666666666664</v>
      </c>
      <c r="Q108" s="4">
        <v>7.0228494623655786</v>
      </c>
      <c r="R108">
        <v>61.2</v>
      </c>
      <c r="S108">
        <v>68.659122604284448</v>
      </c>
      <c r="T108" s="4">
        <v>12.188108830530139</v>
      </c>
      <c r="U108">
        <v>0</v>
      </c>
      <c r="V108">
        <v>0</v>
      </c>
      <c r="W108" s="4">
        <v>0</v>
      </c>
      <c r="X108">
        <v>0</v>
      </c>
      <c r="Y108">
        <v>0</v>
      </c>
      <c r="Z108" s="4">
        <v>0</v>
      </c>
    </row>
    <row r="109" spans="1:26" x14ac:dyDescent="0.2">
      <c r="B109" t="s">
        <v>20</v>
      </c>
      <c r="C109">
        <v>4.2</v>
      </c>
      <c r="D109">
        <v>4.4768014886360206</v>
      </c>
      <c r="E109" s="4">
        <v>6.5905116341909613</v>
      </c>
      <c r="F109">
        <v>1.5</v>
      </c>
      <c r="G109">
        <v>1.3148651780306455</v>
      </c>
      <c r="H109" s="4">
        <v>-12.342321464623634</v>
      </c>
      <c r="I109">
        <v>5.7</v>
      </c>
      <c r="J109">
        <v>5.7916666666666661</v>
      </c>
      <c r="K109" s="4">
        <v>1.6081871345029104</v>
      </c>
      <c r="L109">
        <v>42.9</v>
      </c>
      <c r="M109">
        <v>43.26622266122709</v>
      </c>
      <c r="N109" s="4">
        <v>0.85366587698622698</v>
      </c>
      <c r="O109">
        <v>24.2</v>
      </c>
      <c r="P109">
        <v>29.041666666666664</v>
      </c>
      <c r="Q109" s="4">
        <v>20.00688705234159</v>
      </c>
      <c r="R109">
        <v>65.8</v>
      </c>
      <c r="S109">
        <v>74.660758245317467</v>
      </c>
      <c r="T109" s="4">
        <v>13.466197941211961</v>
      </c>
      <c r="U109">
        <v>0</v>
      </c>
      <c r="V109">
        <v>0</v>
      </c>
      <c r="W109" s="4">
        <v>0</v>
      </c>
      <c r="X109">
        <v>0</v>
      </c>
      <c r="Y109">
        <v>0</v>
      </c>
      <c r="Z109" s="4">
        <v>0</v>
      </c>
    </row>
    <row r="110" spans="1:26" x14ac:dyDescent="0.2">
      <c r="B110" t="s">
        <v>21</v>
      </c>
      <c r="C110">
        <v>5.2</v>
      </c>
      <c r="D110">
        <v>5.4563520211528491</v>
      </c>
      <c r="E110" s="4">
        <v>4.9298465606317103</v>
      </c>
      <c r="F110">
        <v>1.8</v>
      </c>
      <c r="G110">
        <v>1.585314645513817</v>
      </c>
      <c r="H110" s="4">
        <v>-11.926964138121281</v>
      </c>
      <c r="I110">
        <v>7</v>
      </c>
      <c r="J110">
        <v>7.0416666666666661</v>
      </c>
      <c r="K110" s="4">
        <v>0.5952380952380868</v>
      </c>
      <c r="L110">
        <v>45.5</v>
      </c>
      <c r="M110">
        <v>46.359478126909963</v>
      </c>
      <c r="N110" s="4">
        <v>1.8889629162856323</v>
      </c>
      <c r="O110">
        <v>30.8</v>
      </c>
      <c r="P110">
        <v>36.875</v>
      </c>
      <c r="Q110" s="4">
        <v>19.72402597402597</v>
      </c>
      <c r="R110">
        <v>64.099999999999994</v>
      </c>
      <c r="S110">
        <v>69.720449880795286</v>
      </c>
      <c r="T110" s="4">
        <v>8.7682525441424222</v>
      </c>
      <c r="U110">
        <v>0</v>
      </c>
      <c r="V110">
        <v>0</v>
      </c>
      <c r="W110" s="4">
        <v>0</v>
      </c>
      <c r="X110">
        <v>0</v>
      </c>
      <c r="Y110">
        <v>0</v>
      </c>
      <c r="Z110" s="4">
        <v>0</v>
      </c>
    </row>
    <row r="111" spans="1:26" x14ac:dyDescent="0.2">
      <c r="B111" t="s">
        <v>22</v>
      </c>
      <c r="C111">
        <v>4.5</v>
      </c>
      <c r="D111">
        <v>4.7965175748072086</v>
      </c>
      <c r="E111" s="4">
        <v>6.5892794401601922</v>
      </c>
      <c r="F111">
        <v>1.5</v>
      </c>
      <c r="G111">
        <v>1.2451490918594574</v>
      </c>
      <c r="H111" s="4">
        <v>-16.990060542702835</v>
      </c>
      <c r="I111">
        <v>6</v>
      </c>
      <c r="J111">
        <v>6.0416666666666661</v>
      </c>
      <c r="K111" s="4">
        <v>0.69444444444443465</v>
      </c>
      <c r="L111">
        <v>44.7</v>
      </c>
      <c r="M111">
        <v>43.850030063994751</v>
      </c>
      <c r="N111" s="4">
        <v>-1.9014987382667821</v>
      </c>
      <c r="O111">
        <v>22.8</v>
      </c>
      <c r="P111">
        <v>22.041666666666664</v>
      </c>
      <c r="Q111" s="4">
        <v>-3.3260233918128788</v>
      </c>
      <c r="R111">
        <v>59.2</v>
      </c>
      <c r="S111">
        <v>75.106640533538922</v>
      </c>
      <c r="T111" s="4">
        <v>26.869325225572499</v>
      </c>
      <c r="U111">
        <v>10.7</v>
      </c>
      <c r="V111">
        <v>6.4818339650119583</v>
      </c>
      <c r="W111" s="4">
        <v>-4.218166034988041</v>
      </c>
      <c r="X111">
        <v>52.9</v>
      </c>
      <c r="Y111">
        <v>48.115290699500633</v>
      </c>
      <c r="Z111" s="4">
        <v>-4.7847093004993653</v>
      </c>
    </row>
    <row r="112" spans="1:26" x14ac:dyDescent="0.2">
      <c r="A112" s="1" t="s">
        <v>332</v>
      </c>
      <c r="B112" t="s">
        <v>1</v>
      </c>
      <c r="C112">
        <v>4.7</v>
      </c>
      <c r="D112">
        <v>4.9393602387754942</v>
      </c>
      <c r="E112" s="4">
        <v>5.092771037776469</v>
      </c>
      <c r="F112">
        <v>2.4</v>
      </c>
      <c r="G112">
        <v>2.3523064278911718</v>
      </c>
      <c r="H112" s="4">
        <v>-1.9872321712011698</v>
      </c>
      <c r="I112">
        <v>7.1</v>
      </c>
      <c r="J112">
        <v>7.2916666666666661</v>
      </c>
      <c r="K112" s="4">
        <v>2.6995305164319214</v>
      </c>
      <c r="L112">
        <v>49.8</v>
      </c>
      <c r="M112">
        <v>50.05337655654138</v>
      </c>
      <c r="N112" s="4">
        <v>0.50878826614735551</v>
      </c>
      <c r="O112">
        <v>34.200000000000003</v>
      </c>
      <c r="P112">
        <v>37.291666666666664</v>
      </c>
      <c r="Q112" s="4">
        <v>9.0399610136452075</v>
      </c>
      <c r="R112">
        <v>52.1</v>
      </c>
      <c r="S112">
        <v>63.741549269601869</v>
      </c>
      <c r="T112" s="4">
        <v>22.344624317853874</v>
      </c>
      <c r="U112">
        <v>0</v>
      </c>
      <c r="V112">
        <v>0</v>
      </c>
      <c r="W112" s="4">
        <v>0</v>
      </c>
      <c r="X112">
        <v>0</v>
      </c>
      <c r="Y112">
        <v>0</v>
      </c>
      <c r="Z112" s="4">
        <v>0</v>
      </c>
    </row>
    <row r="113" spans="2:26" x14ac:dyDescent="0.2">
      <c r="B113" t="s">
        <v>2</v>
      </c>
      <c r="C113">
        <v>4.4000000000000004</v>
      </c>
      <c r="D113">
        <v>4.7389765914123547</v>
      </c>
      <c r="E113" s="4">
        <v>7.704013441189872</v>
      </c>
      <c r="F113">
        <v>2.1</v>
      </c>
      <c r="G113">
        <v>1.8026900752543114</v>
      </c>
      <c r="H113" s="4">
        <v>-14.157615464080415</v>
      </c>
      <c r="I113">
        <v>6.5</v>
      </c>
      <c r="J113">
        <v>6.5416666666666661</v>
      </c>
      <c r="K113" s="4">
        <v>0.64102564102563186</v>
      </c>
      <c r="L113">
        <v>43.9</v>
      </c>
      <c r="M113">
        <v>43.300269450485771</v>
      </c>
      <c r="N113" s="4">
        <v>-1.3661288143832053</v>
      </c>
      <c r="O113">
        <v>29.9</v>
      </c>
      <c r="P113">
        <v>30.208333333333332</v>
      </c>
      <c r="Q113" s="4">
        <v>1.031215161649945</v>
      </c>
      <c r="R113">
        <v>61.4</v>
      </c>
      <c r="S113">
        <v>69.002776174087018</v>
      </c>
      <c r="T113" s="4">
        <v>12.382371619034233</v>
      </c>
      <c r="U113">
        <v>3.7</v>
      </c>
      <c r="V113">
        <v>1.5540856587469563</v>
      </c>
      <c r="W113" s="4">
        <v>-2.1459143412530439</v>
      </c>
      <c r="X113">
        <v>34.299999999999997</v>
      </c>
      <c r="Y113">
        <v>31.550844075088435</v>
      </c>
      <c r="Z113" s="4">
        <v>-2.7491559249115625</v>
      </c>
    </row>
    <row r="114" spans="2:26" x14ac:dyDescent="0.2">
      <c r="B114" t="s">
        <v>3</v>
      </c>
      <c r="C114">
        <v>4.7</v>
      </c>
      <c r="D114">
        <v>4.944542377377326</v>
      </c>
      <c r="E114" s="4">
        <v>5.2030293059005501</v>
      </c>
      <c r="F114">
        <v>2.4</v>
      </c>
      <c r="G114">
        <v>2.180457622622674</v>
      </c>
      <c r="H114" s="4">
        <v>-9.1475990573885824</v>
      </c>
      <c r="I114">
        <v>7.1</v>
      </c>
      <c r="J114">
        <v>7.125</v>
      </c>
      <c r="K114" s="4">
        <v>0.35211267605634305</v>
      </c>
      <c r="L114">
        <v>40.4</v>
      </c>
      <c r="M114">
        <v>40.031373192614829</v>
      </c>
      <c r="N114" s="4">
        <v>-0.91244259253754778</v>
      </c>
      <c r="O114">
        <v>20.7</v>
      </c>
      <c r="P114">
        <v>21.958333333333332</v>
      </c>
      <c r="Q114" s="4">
        <v>6.0789049919484679</v>
      </c>
      <c r="R114">
        <v>58.4</v>
      </c>
      <c r="S114">
        <v>64.892977845209273</v>
      </c>
      <c r="T114" s="4">
        <v>11.118112748646018</v>
      </c>
      <c r="U114">
        <v>34.9</v>
      </c>
      <c r="V114">
        <v>34.769896246699417</v>
      </c>
      <c r="W114" s="4">
        <v>-0.1301037533005811</v>
      </c>
      <c r="X114">
        <v>67.900000000000006</v>
      </c>
      <c r="Y114">
        <v>66.406506841651861</v>
      </c>
      <c r="Z114" s="4">
        <v>-1.4934931583481443</v>
      </c>
    </row>
    <row r="115" spans="2:26" x14ac:dyDescent="0.2">
      <c r="B115" t="s">
        <v>4</v>
      </c>
      <c r="C115">
        <v>4.0999999999999996</v>
      </c>
      <c r="D115">
        <v>4.3886627270509635</v>
      </c>
      <c r="E115" s="4">
        <v>7.0405543183161914</v>
      </c>
      <c r="F115">
        <v>1.8</v>
      </c>
      <c r="G115">
        <v>1.4863372729490365</v>
      </c>
      <c r="H115" s="4">
        <v>-17.425707058386863</v>
      </c>
      <c r="I115">
        <v>5.8999999999999995</v>
      </c>
      <c r="J115">
        <v>5.875</v>
      </c>
      <c r="K115" s="4">
        <v>-0.42372881355931302</v>
      </c>
      <c r="L115">
        <v>48.1</v>
      </c>
      <c r="M115">
        <v>48.116810340293561</v>
      </c>
      <c r="N115" s="4">
        <v>3.4948732419043636E-2</v>
      </c>
      <c r="O115">
        <v>30.8</v>
      </c>
      <c r="P115">
        <v>33.208333333333329</v>
      </c>
      <c r="Q115" s="4">
        <v>7.8192640692640509</v>
      </c>
      <c r="R115">
        <v>64.099999999999994</v>
      </c>
      <c r="S115">
        <v>72.689738529730221</v>
      </c>
      <c r="T115" s="4">
        <v>13.400528127504256</v>
      </c>
      <c r="U115">
        <v>0</v>
      </c>
      <c r="V115">
        <v>0</v>
      </c>
      <c r="W115" s="4">
        <v>0</v>
      </c>
      <c r="X115">
        <v>0</v>
      </c>
      <c r="Y115">
        <v>0</v>
      </c>
      <c r="Z115" s="4">
        <v>0</v>
      </c>
    </row>
    <row r="116" spans="2:26" x14ac:dyDescent="0.2">
      <c r="B116" t="s">
        <v>5</v>
      </c>
      <c r="C116">
        <v>4.2</v>
      </c>
      <c r="D116">
        <v>4.4705440493761497</v>
      </c>
      <c r="E116" s="4">
        <v>6.4415249851464171</v>
      </c>
      <c r="F116">
        <v>3</v>
      </c>
      <c r="G116">
        <v>2.7377892839571834</v>
      </c>
      <c r="H116" s="4">
        <v>-8.7403572014272228</v>
      </c>
      <c r="I116">
        <v>7.2</v>
      </c>
      <c r="J116">
        <v>7.208333333333333</v>
      </c>
      <c r="K116" s="4">
        <v>0.11574074074073416</v>
      </c>
      <c r="L116">
        <v>40.299999999999997</v>
      </c>
      <c r="M116">
        <v>39.54019768639278</v>
      </c>
      <c r="N116" s="4">
        <v>-1.8853655424496705</v>
      </c>
      <c r="O116">
        <v>26.8</v>
      </c>
      <c r="P116">
        <v>26.375</v>
      </c>
      <c r="Q116" s="4">
        <v>-1.5858208955223905</v>
      </c>
      <c r="R116">
        <v>51</v>
      </c>
      <c r="S116">
        <v>62.177592028143003</v>
      </c>
      <c r="T116" s="4">
        <v>21.91684711400589</v>
      </c>
      <c r="U116">
        <v>13</v>
      </c>
      <c r="V116">
        <v>9.4626496062222003</v>
      </c>
      <c r="W116" s="4">
        <v>-3.5373503937777997</v>
      </c>
      <c r="X116">
        <v>48.2</v>
      </c>
      <c r="Y116">
        <v>44.244266034671163</v>
      </c>
      <c r="Z116" s="4">
        <v>-3.9557339653288395</v>
      </c>
    </row>
    <row r="117" spans="2:26" x14ac:dyDescent="0.2">
      <c r="B117" t="s">
        <v>6</v>
      </c>
      <c r="C117">
        <v>4.7</v>
      </c>
      <c r="D117">
        <v>4.9380408894265244</v>
      </c>
      <c r="E117" s="4">
        <v>5.0646997750324303</v>
      </c>
      <c r="F117">
        <v>2.6</v>
      </c>
      <c r="G117">
        <v>2.3536257772401417</v>
      </c>
      <c r="H117" s="4">
        <v>-9.4759316446099398</v>
      </c>
      <c r="I117">
        <v>7.3000000000000007</v>
      </c>
      <c r="J117">
        <v>7.2916666666666661</v>
      </c>
      <c r="K117" s="4">
        <v>-0.11415525114157035</v>
      </c>
      <c r="L117">
        <v>39.700000000000003</v>
      </c>
      <c r="M117">
        <v>39.216214916081341</v>
      </c>
      <c r="N117" s="4">
        <v>-1.2186022264953689</v>
      </c>
      <c r="O117">
        <v>21.4</v>
      </c>
      <c r="P117">
        <v>20.708333333333332</v>
      </c>
      <c r="Q117" s="4">
        <v>-3.2320872274143291</v>
      </c>
      <c r="R117">
        <v>54.2</v>
      </c>
      <c r="S117">
        <v>63.560486280028613</v>
      </c>
      <c r="T117" s="4">
        <v>17.270269889351678</v>
      </c>
      <c r="U117">
        <v>43.6</v>
      </c>
      <c r="V117">
        <v>36.59254669805869</v>
      </c>
      <c r="W117" s="4">
        <v>-7.007453301941311</v>
      </c>
      <c r="X117">
        <v>72.5</v>
      </c>
      <c r="Y117">
        <v>67.412903872142806</v>
      </c>
      <c r="Z117" s="4">
        <v>-5.087096127857194</v>
      </c>
    </row>
    <row r="118" spans="2:26" x14ac:dyDescent="0.2">
      <c r="B118" t="s">
        <v>7</v>
      </c>
      <c r="C118">
        <v>4.0999999999999996</v>
      </c>
      <c r="D118">
        <v>4.3774356649534987</v>
      </c>
      <c r="E118" s="4">
        <v>6.766723535451197</v>
      </c>
      <c r="F118">
        <v>3</v>
      </c>
      <c r="G118">
        <v>2.8308976683798344</v>
      </c>
      <c r="H118" s="4">
        <v>-5.6367443873388545</v>
      </c>
      <c r="I118">
        <v>7.1</v>
      </c>
      <c r="J118">
        <v>7.208333333333333</v>
      </c>
      <c r="K118" s="4">
        <v>1.5258215962441324</v>
      </c>
      <c r="L118">
        <v>36.700000000000003</v>
      </c>
      <c r="M118">
        <v>36.229466028833045</v>
      </c>
      <c r="N118" s="4">
        <v>-1.282108913261466</v>
      </c>
      <c r="O118">
        <v>23.2</v>
      </c>
      <c r="P118">
        <v>22.708333333333332</v>
      </c>
      <c r="Q118" s="4">
        <v>-2.1192528735632208</v>
      </c>
      <c r="R118">
        <v>51.9</v>
      </c>
      <c r="S118">
        <v>61.682065629853284</v>
      </c>
      <c r="T118" s="4">
        <v>18.847910654823284</v>
      </c>
      <c r="U118">
        <v>36.9</v>
      </c>
      <c r="V118">
        <v>31.178168846002222</v>
      </c>
      <c r="W118" s="4">
        <v>-5.7218311539977762</v>
      </c>
      <c r="X118">
        <v>66.5</v>
      </c>
      <c r="Y118">
        <v>62.10509152347754</v>
      </c>
      <c r="Z118" s="4">
        <v>-4.3949084765224598</v>
      </c>
    </row>
    <row r="119" spans="2:26" x14ac:dyDescent="0.2">
      <c r="B119" t="s">
        <v>8</v>
      </c>
      <c r="C119">
        <v>4.5</v>
      </c>
      <c r="D119">
        <v>4.7700253747172319</v>
      </c>
      <c r="E119" s="4">
        <v>6.0005638826051522</v>
      </c>
      <c r="F119">
        <v>2.8</v>
      </c>
      <c r="G119">
        <v>2.7716412919494342</v>
      </c>
      <c r="H119" s="4">
        <v>-1.0128110018059151</v>
      </c>
      <c r="I119">
        <v>7.3</v>
      </c>
      <c r="J119">
        <v>7.5416666666666661</v>
      </c>
      <c r="K119" s="4">
        <v>3.3105022831050173</v>
      </c>
      <c r="L119">
        <v>41.6</v>
      </c>
      <c r="M119">
        <v>42.170228779854995</v>
      </c>
      <c r="N119" s="4">
        <v>1.3707422592668106</v>
      </c>
      <c r="O119">
        <v>30.7</v>
      </c>
      <c r="P119">
        <v>36.041666666666664</v>
      </c>
      <c r="Q119" s="4">
        <v>17.399565689467963</v>
      </c>
      <c r="R119">
        <v>55.3</v>
      </c>
      <c r="S119">
        <v>61.167136109077326</v>
      </c>
      <c r="T119" s="4">
        <v>10.609649383503307</v>
      </c>
      <c r="U119">
        <v>0</v>
      </c>
      <c r="V119">
        <v>0</v>
      </c>
      <c r="W119" s="4">
        <v>0</v>
      </c>
      <c r="X119">
        <v>0</v>
      </c>
      <c r="Y119">
        <v>0</v>
      </c>
      <c r="Z119" s="4">
        <v>0</v>
      </c>
    </row>
    <row r="120" spans="2:26" x14ac:dyDescent="0.2">
      <c r="B120" t="s">
        <v>9</v>
      </c>
      <c r="C120">
        <v>4.0999999999999996</v>
      </c>
      <c r="D120">
        <v>4.3365561115666313</v>
      </c>
      <c r="E120" s="4">
        <v>5.7696612577227242</v>
      </c>
      <c r="F120">
        <v>3</v>
      </c>
      <c r="G120">
        <v>2.9551105551000347</v>
      </c>
      <c r="H120" s="4">
        <v>-1.4963148299988425</v>
      </c>
      <c r="I120">
        <v>7.1</v>
      </c>
      <c r="J120">
        <v>7.2916666666666661</v>
      </c>
      <c r="K120" s="4">
        <v>2.6995305164319214</v>
      </c>
      <c r="L120">
        <v>37</v>
      </c>
      <c r="M120">
        <v>36.443372608920662</v>
      </c>
      <c r="N120" s="4">
        <v>-1.5043983542684822</v>
      </c>
      <c r="O120">
        <v>24.3</v>
      </c>
      <c r="P120">
        <v>25.041666666666664</v>
      </c>
      <c r="Q120" s="4">
        <v>3.0521262002743357</v>
      </c>
      <c r="R120">
        <v>51</v>
      </c>
      <c r="S120">
        <v>60.04941555902672</v>
      </c>
      <c r="T120" s="4">
        <v>17.74395207652298</v>
      </c>
      <c r="U120">
        <v>1.3</v>
      </c>
      <c r="V120">
        <v>0</v>
      </c>
      <c r="W120" s="4">
        <v>-1.3</v>
      </c>
      <c r="X120">
        <v>25.1</v>
      </c>
      <c r="Y120">
        <v>23.66244455701235</v>
      </c>
      <c r="Z120" s="4">
        <v>-1.4375554429876516</v>
      </c>
    </row>
    <row r="121" spans="2:26" x14ac:dyDescent="0.2">
      <c r="B121" t="s">
        <v>10</v>
      </c>
      <c r="C121">
        <v>4.4000000000000004</v>
      </c>
      <c r="D121">
        <v>4.7814922964709137</v>
      </c>
      <c r="E121" s="4">
        <v>8.6702794652480293</v>
      </c>
      <c r="F121">
        <v>4.7</v>
      </c>
      <c r="G121">
        <v>4.0101743701957524</v>
      </c>
      <c r="H121" s="4">
        <v>-14.677141059664844</v>
      </c>
      <c r="I121">
        <v>9.1000000000000014</v>
      </c>
      <c r="J121">
        <v>8.7916666666666661</v>
      </c>
      <c r="K121" s="4">
        <v>-3.3882783882784095</v>
      </c>
      <c r="L121">
        <v>33.4</v>
      </c>
      <c r="M121">
        <v>33.681852840977797</v>
      </c>
      <c r="N121" s="4">
        <v>0.84387078137065363</v>
      </c>
      <c r="O121">
        <v>27.2</v>
      </c>
      <c r="P121">
        <v>31.458333333333332</v>
      </c>
      <c r="Q121" s="4">
        <v>15.655637254901961</v>
      </c>
      <c r="R121">
        <v>48.4</v>
      </c>
      <c r="S121">
        <v>56.040957914243734</v>
      </c>
      <c r="T121" s="4">
        <v>15.787103128602759</v>
      </c>
      <c r="U121">
        <v>0</v>
      </c>
      <c r="V121">
        <v>0</v>
      </c>
      <c r="W121" s="4">
        <v>0</v>
      </c>
      <c r="X121">
        <v>0</v>
      </c>
      <c r="Y121">
        <v>0</v>
      </c>
      <c r="Z121" s="4">
        <v>0</v>
      </c>
    </row>
    <row r="122" spans="2:26" x14ac:dyDescent="0.2">
      <c r="B122" t="s">
        <v>11</v>
      </c>
      <c r="C122">
        <v>5</v>
      </c>
      <c r="D122">
        <v>5.3367729119168565</v>
      </c>
      <c r="E122" s="4">
        <v>6.73545823833713</v>
      </c>
      <c r="F122">
        <v>2.1</v>
      </c>
      <c r="G122">
        <v>1.9548937547498095</v>
      </c>
      <c r="H122" s="4">
        <v>-6.9098212023900265</v>
      </c>
      <c r="I122">
        <v>7.1</v>
      </c>
      <c r="J122">
        <v>7.2916666666666661</v>
      </c>
      <c r="K122" s="4">
        <v>2.6995305164319214</v>
      </c>
      <c r="L122">
        <v>59.1</v>
      </c>
      <c r="M122">
        <v>59.975123911714235</v>
      </c>
      <c r="N122" s="4">
        <v>1.480751119651833</v>
      </c>
      <c r="O122">
        <v>39.299999999999997</v>
      </c>
      <c r="P122">
        <v>44.458333333333329</v>
      </c>
      <c r="Q122" s="4">
        <v>13.125530110262931</v>
      </c>
      <c r="R122">
        <v>59.7</v>
      </c>
      <c r="S122">
        <v>66.518776977290202</v>
      </c>
      <c r="T122" s="4">
        <v>11.421736980385592</v>
      </c>
      <c r="U122">
        <v>0</v>
      </c>
      <c r="V122">
        <v>0</v>
      </c>
      <c r="W122" s="4">
        <v>0</v>
      </c>
      <c r="X122">
        <v>0</v>
      </c>
      <c r="Y122">
        <v>0</v>
      </c>
      <c r="Z122" s="4">
        <v>0</v>
      </c>
    </row>
    <row r="123" spans="2:26" x14ac:dyDescent="0.2">
      <c r="B123" t="s">
        <v>12</v>
      </c>
      <c r="C123">
        <v>4</v>
      </c>
      <c r="D123">
        <v>4.2959005184024246</v>
      </c>
      <c r="E123" s="4">
        <v>7.3975129600606149</v>
      </c>
      <c r="F123">
        <v>3.7</v>
      </c>
      <c r="G123">
        <v>3.2457661482642415</v>
      </c>
      <c r="H123" s="4">
        <v>-12.276590587452937</v>
      </c>
      <c r="I123">
        <v>7.7</v>
      </c>
      <c r="J123">
        <v>7.5416666666666661</v>
      </c>
      <c r="K123" s="4">
        <v>-2.0562770562770663</v>
      </c>
      <c r="L123">
        <v>34.9</v>
      </c>
      <c r="M123">
        <v>34.881864619914751</v>
      </c>
      <c r="N123" s="4">
        <v>-5.1963839785810116E-2</v>
      </c>
      <c r="O123">
        <v>27.2</v>
      </c>
      <c r="P123">
        <v>30.291666666666664</v>
      </c>
      <c r="Q123" s="4">
        <v>11.366421568627445</v>
      </c>
      <c r="R123">
        <v>46.5</v>
      </c>
      <c r="S123">
        <v>60.443544046607187</v>
      </c>
      <c r="T123" s="4">
        <v>29.986116229262766</v>
      </c>
      <c r="U123">
        <v>0</v>
      </c>
      <c r="V123">
        <v>0</v>
      </c>
      <c r="W123" s="4">
        <v>0</v>
      </c>
      <c r="X123">
        <v>0</v>
      </c>
      <c r="Y123">
        <v>0</v>
      </c>
      <c r="Z123" s="4">
        <v>0</v>
      </c>
    </row>
    <row r="124" spans="2:26" x14ac:dyDescent="0.2">
      <c r="B124" t="s">
        <v>13</v>
      </c>
      <c r="C124">
        <v>4.3</v>
      </c>
      <c r="D124">
        <v>4.711581095548028</v>
      </c>
      <c r="E124" s="4">
        <v>9.5716533848378642</v>
      </c>
      <c r="F124">
        <v>2.1</v>
      </c>
      <c r="G124">
        <v>1.7467522377853051</v>
      </c>
      <c r="H124" s="4">
        <v>-16.821322010223572</v>
      </c>
      <c r="I124">
        <v>6.4</v>
      </c>
      <c r="J124">
        <v>6.458333333333333</v>
      </c>
      <c r="K124" s="4">
        <v>0.91145833333332316</v>
      </c>
      <c r="L124">
        <v>51.9</v>
      </c>
      <c r="M124">
        <v>51.514866345889459</v>
      </c>
      <c r="N124" s="4">
        <v>-0.74206869770816897</v>
      </c>
      <c r="O124">
        <v>28.9</v>
      </c>
      <c r="P124">
        <v>29.791666666666664</v>
      </c>
      <c r="Q124" s="4">
        <v>3.0853517877739298</v>
      </c>
      <c r="R124">
        <v>60.4</v>
      </c>
      <c r="S124">
        <v>69.420023732407969</v>
      </c>
      <c r="T124" s="4">
        <v>14.933814126503265</v>
      </c>
      <c r="U124">
        <v>5.2</v>
      </c>
      <c r="V124">
        <v>4.206471382674863</v>
      </c>
      <c r="W124" s="4">
        <v>-0.9935286173251372</v>
      </c>
      <c r="X124">
        <v>37.700000000000003</v>
      </c>
      <c r="Y124">
        <v>36.508044061612758</v>
      </c>
      <c r="Z124" s="4">
        <v>-1.1919559383872453</v>
      </c>
    </row>
    <row r="125" spans="2:26" x14ac:dyDescent="0.2">
      <c r="B125" t="s">
        <v>14</v>
      </c>
      <c r="C125">
        <v>3.9</v>
      </c>
      <c r="D125">
        <v>4.278030525882679</v>
      </c>
      <c r="E125" s="4">
        <v>9.6930904072481816</v>
      </c>
      <c r="F125">
        <v>2</v>
      </c>
      <c r="G125">
        <v>1.7636361407839871</v>
      </c>
      <c r="H125" s="4">
        <v>-11.818192960800644</v>
      </c>
      <c r="I125">
        <v>5.9</v>
      </c>
      <c r="J125">
        <v>6.0416666666666661</v>
      </c>
      <c r="K125" s="4">
        <v>2.4011299435028088</v>
      </c>
      <c r="L125">
        <v>52.2</v>
      </c>
      <c r="M125">
        <v>52.338436580420932</v>
      </c>
      <c r="N125" s="4">
        <v>0.26520417705158916</v>
      </c>
      <c r="O125">
        <v>33</v>
      </c>
      <c r="P125">
        <v>36.125</v>
      </c>
      <c r="Q125" s="4">
        <v>9.4696969696969688</v>
      </c>
      <c r="R125">
        <v>60</v>
      </c>
      <c r="S125">
        <v>70.61483945682032</v>
      </c>
      <c r="T125" s="4">
        <v>17.691399094700532</v>
      </c>
      <c r="U125">
        <v>0</v>
      </c>
      <c r="V125">
        <v>0</v>
      </c>
      <c r="W125" s="4">
        <v>0</v>
      </c>
      <c r="X125">
        <v>0</v>
      </c>
      <c r="Y125">
        <v>0</v>
      </c>
      <c r="Z125" s="4">
        <v>0</v>
      </c>
    </row>
    <row r="126" spans="2:26" x14ac:dyDescent="0.2">
      <c r="B126" t="s">
        <v>15</v>
      </c>
      <c r="C126">
        <v>4.4000000000000004</v>
      </c>
      <c r="D126">
        <v>4.6405749688105953</v>
      </c>
      <c r="E126" s="4">
        <v>5.4676129275135201</v>
      </c>
      <c r="F126">
        <v>2</v>
      </c>
      <c r="G126">
        <v>1.8177583645227378</v>
      </c>
      <c r="H126" s="4">
        <v>-9.1120817738631121</v>
      </c>
      <c r="I126">
        <v>6.4</v>
      </c>
      <c r="J126">
        <v>6.458333333333333</v>
      </c>
      <c r="K126" s="4">
        <v>0.91145833333332316</v>
      </c>
      <c r="L126">
        <v>44.6</v>
      </c>
      <c r="M126">
        <v>44.567809298634145</v>
      </c>
      <c r="N126" s="4">
        <v>-7.2176460461560538E-2</v>
      </c>
      <c r="O126">
        <v>32.6</v>
      </c>
      <c r="P126">
        <v>34.708333333333329</v>
      </c>
      <c r="Q126" s="4">
        <v>6.4672801635991624</v>
      </c>
      <c r="R126">
        <v>61.4</v>
      </c>
      <c r="S126">
        <v>68.765704065669183</v>
      </c>
      <c r="T126" s="4">
        <v>11.996260693272289</v>
      </c>
      <c r="U126">
        <v>0</v>
      </c>
      <c r="V126">
        <v>0</v>
      </c>
      <c r="W126" s="4">
        <v>0</v>
      </c>
      <c r="X126">
        <v>0</v>
      </c>
      <c r="Y126">
        <v>0</v>
      </c>
      <c r="Z126" s="4">
        <v>0</v>
      </c>
    </row>
    <row r="127" spans="2:26" x14ac:dyDescent="0.2">
      <c r="B127" t="s">
        <v>16</v>
      </c>
      <c r="C127">
        <v>4.3</v>
      </c>
      <c r="D127">
        <v>4.6706205110151089</v>
      </c>
      <c r="E127" s="4">
        <v>8.6190816515141648</v>
      </c>
      <c r="F127">
        <v>2.7</v>
      </c>
      <c r="G127">
        <v>2.3710461556515572</v>
      </c>
      <c r="H127" s="4">
        <v>-12.183475716608999</v>
      </c>
      <c r="I127">
        <v>7</v>
      </c>
      <c r="J127">
        <v>7.0416666666666661</v>
      </c>
      <c r="K127" s="4">
        <v>0.5952380952380868</v>
      </c>
      <c r="L127">
        <v>32.799999999999997</v>
      </c>
      <c r="M127">
        <v>32.531708943403501</v>
      </c>
      <c r="N127" s="4">
        <v>-0.81796053840395133</v>
      </c>
      <c r="O127">
        <v>17.5</v>
      </c>
      <c r="P127">
        <v>18.875</v>
      </c>
      <c r="Q127" s="4">
        <v>7.8571428571428568</v>
      </c>
      <c r="R127">
        <v>55.3</v>
      </c>
      <c r="S127">
        <v>65.011434592502397</v>
      </c>
      <c r="T127" s="4">
        <v>17.561364543403979</v>
      </c>
      <c r="U127">
        <v>53.6</v>
      </c>
      <c r="V127">
        <v>52.571204718777665</v>
      </c>
      <c r="W127" s="4">
        <v>-1.0287952812223367</v>
      </c>
      <c r="X127">
        <v>77.400000000000006</v>
      </c>
      <c r="Y127">
        <v>75.701111359875995</v>
      </c>
      <c r="Z127" s="4">
        <v>-1.6988886401240109</v>
      </c>
    </row>
    <row r="128" spans="2:26" x14ac:dyDescent="0.2">
      <c r="B128" t="s">
        <v>17</v>
      </c>
      <c r="C128">
        <v>4.5999999999999996</v>
      </c>
      <c r="D128">
        <v>4.9353836000616589</v>
      </c>
      <c r="E128" s="4">
        <v>7.2909478274273756</v>
      </c>
      <c r="F128">
        <v>3.3</v>
      </c>
      <c r="G128">
        <v>3.0229497332716742</v>
      </c>
      <c r="H128" s="4">
        <v>-8.3954626281310816</v>
      </c>
      <c r="I128">
        <v>7.8999999999999995</v>
      </c>
      <c r="J128">
        <v>7.958333333333333</v>
      </c>
      <c r="K128" s="4">
        <v>0.73839662447257692</v>
      </c>
      <c r="L128">
        <v>40</v>
      </c>
      <c r="M128">
        <v>39.947181907521212</v>
      </c>
      <c r="N128" s="4">
        <v>-0.13204523119696887</v>
      </c>
      <c r="O128">
        <v>33.4</v>
      </c>
      <c r="P128">
        <v>36.541666666666664</v>
      </c>
      <c r="Q128" s="4">
        <v>9.4061876247504959</v>
      </c>
      <c r="R128">
        <v>52.5</v>
      </c>
      <c r="S128">
        <v>59.10666642962277</v>
      </c>
      <c r="T128" s="4">
        <v>12.5841265326148</v>
      </c>
      <c r="U128">
        <v>0</v>
      </c>
      <c r="V128">
        <v>0</v>
      </c>
      <c r="W128" s="4">
        <v>0</v>
      </c>
      <c r="X128">
        <v>0</v>
      </c>
      <c r="Y128">
        <v>0</v>
      </c>
      <c r="Z128" s="4">
        <v>0</v>
      </c>
    </row>
    <row r="129" spans="1:26" x14ac:dyDescent="0.2">
      <c r="B129" t="s">
        <v>18</v>
      </c>
      <c r="C129">
        <v>4.2</v>
      </c>
      <c r="D129">
        <v>4.5458279948309972</v>
      </c>
      <c r="E129" s="4">
        <v>8.2339998769285003</v>
      </c>
      <c r="F129">
        <v>2.2999999999999998</v>
      </c>
      <c r="G129">
        <v>2.0791720051690028</v>
      </c>
      <c r="H129" s="4">
        <v>-9.6012171665650889</v>
      </c>
      <c r="I129">
        <v>6.5</v>
      </c>
      <c r="J129">
        <v>6.625</v>
      </c>
      <c r="K129" s="4">
        <v>1.9230769230769231</v>
      </c>
      <c r="L129">
        <v>41.7</v>
      </c>
      <c r="M129">
        <v>41.519533288769637</v>
      </c>
      <c r="N129" s="4">
        <v>-0.43277388784260473</v>
      </c>
      <c r="O129">
        <v>25.7</v>
      </c>
      <c r="P129">
        <v>26.958333333333332</v>
      </c>
      <c r="Q129" s="4">
        <v>4.8962386511024629</v>
      </c>
      <c r="R129">
        <v>57.2</v>
      </c>
      <c r="S129">
        <v>66.306501277125037</v>
      </c>
      <c r="T129" s="4">
        <v>15.920456778190617</v>
      </c>
      <c r="U129">
        <v>12.3</v>
      </c>
      <c r="V129">
        <v>12.60299225156551</v>
      </c>
      <c r="W129" s="4">
        <v>0.30299225156550946</v>
      </c>
      <c r="X129">
        <v>42.1</v>
      </c>
      <c r="Y129">
        <v>41.655041611893431</v>
      </c>
      <c r="Z129" s="4">
        <v>-0.44495838810657062</v>
      </c>
    </row>
    <row r="130" spans="1:26" x14ac:dyDescent="0.2">
      <c r="E130" s="4"/>
      <c r="H130" s="4"/>
      <c r="K130" s="4"/>
      <c r="N130" s="4"/>
      <c r="Q130" s="4"/>
      <c r="T130" s="4"/>
      <c r="W130" s="4"/>
      <c r="Z130" s="4"/>
    </row>
    <row r="131" spans="1:26" x14ac:dyDescent="0.2">
      <c r="A131" s="1" t="s">
        <v>333</v>
      </c>
      <c r="C131" cm="1">
        <f t="array" ref="C131">AVERAGE(ABS(C2:C129))</f>
        <v>5.28515625</v>
      </c>
      <c r="D131" cm="1">
        <f t="array" ref="D131">AVERAGE(ABS(D2:D129))</f>
        <v>5.6224408168513635</v>
      </c>
      <c r="E131" s="4" cm="1">
        <f t="array" ref="E131">AVERAGE(ABS(E2:E129))</f>
        <v>7.2912771464329325</v>
      </c>
      <c r="F131" cm="1">
        <f t="array" ref="F131">AVERAGE(ABS(F2:F129))</f>
        <v>2.72265625</v>
      </c>
      <c r="G131" cm="1">
        <f t="array" ref="G131">AVERAGE(ABS(G2:G129))</f>
        <v>2.4452675164767634</v>
      </c>
      <c r="H131" s="4" cm="1">
        <f t="array" ref="H131">AVERAGE(ABS(H2:H129))</f>
        <v>11.621371602816019</v>
      </c>
      <c r="I131" cm="1">
        <f t="array" ref="I131">AVERAGE(ABS(I2:I129))</f>
        <v>8.0078125</v>
      </c>
      <c r="J131" cm="1">
        <f t="array" ref="J131">AVERAGE(ABS(J2:J129))</f>
        <v>8.0677083333359363</v>
      </c>
      <c r="K131" s="4" cm="1">
        <f t="array" ref="K131">AVERAGE(ABS(K2:K129))</f>
        <v>1.6108801765230798</v>
      </c>
      <c r="L131" cm="1">
        <f t="array" ref="L131">AVERAGE(ABS(L2:L129))</f>
        <v>44.067187499999996</v>
      </c>
      <c r="M131" cm="1">
        <f t="array" ref="M131">AVERAGE(ABS(M2:M129))</f>
        <v>43.859653246753645</v>
      </c>
      <c r="N131" s="4" cm="1">
        <f t="array" ref="N131">AVERAGE(ABS(N2:N129))</f>
        <v>1.1027976224388565</v>
      </c>
      <c r="O131" cm="1">
        <f t="array" ref="O131">AVERAGE(ABS(O2:O129))</f>
        <v>28.257031250000001</v>
      </c>
      <c r="P131" cm="1">
        <f t="array" ref="P131">AVERAGE(ABS(P2:P129))</f>
        <v>30.127604166718747</v>
      </c>
      <c r="Q131" s="4" cm="1">
        <f t="array" ref="Q131">AVERAGE(ABS(Q2:Q129))</f>
        <v>8.9798830016751516</v>
      </c>
      <c r="R131" cm="1">
        <f t="array" ref="R131">AVERAGE(ABS(R2:R129))</f>
        <v>56.503906249999993</v>
      </c>
      <c r="S131" cm="1">
        <f t="array" ref="S131">AVERAGE(ABS(S2:S129))</f>
        <v>63.453893349640687</v>
      </c>
      <c r="T131" s="4" cm="1">
        <f t="array" ref="T131">AVERAGE(ABS(T2:T129))</f>
        <v>13.538495656776117</v>
      </c>
      <c r="U131" cm="1">
        <f t="array" ref="U131">AVERAGE(ABS(U2:U129))</f>
        <v>10.646093750000002</v>
      </c>
      <c r="V131" cm="1">
        <f t="array" ref="V131">AVERAGE(ABS(V2:V129))</f>
        <v>9.1093634975032352</v>
      </c>
      <c r="W131" s="4" cm="1">
        <f t="array" ref="W131">AVERAGE(ABS(W2:W129))</f>
        <v>1.541464506357161</v>
      </c>
      <c r="X131" cm="1">
        <f t="array" ref="X131">AVERAGE(ABS(X2:X129))</f>
        <v>20.808593750000004</v>
      </c>
      <c r="Y131" cm="1">
        <f t="array" ref="Y131">AVERAGE(ABS(Y2:Y129))</f>
        <v>19.407250223461791</v>
      </c>
      <c r="Z131" s="4" cm="1">
        <f t="array" ref="Z131">AVERAGE(ABS(Z2:Z129))</f>
        <v>1.4062779826014928</v>
      </c>
    </row>
    <row r="132" spans="1:26" x14ac:dyDescent="0.2">
      <c r="A132" s="1" t="s">
        <v>334</v>
      </c>
      <c r="C132">
        <f>_xlfn.STDEV.S(C2:C129)</f>
        <v>1.6596219019052094</v>
      </c>
      <c r="D132">
        <f t="shared" ref="D132:Z133" si="0">_xlfn.STDEV.S(D2:D129)</f>
        <v>1.6219303227712754</v>
      </c>
      <c r="E132" s="4">
        <f t="shared" si="0"/>
        <v>3.8534911492355244</v>
      </c>
      <c r="F132">
        <f t="shared" si="0"/>
        <v>1.0232890343566901</v>
      </c>
      <c r="G132">
        <f t="shared" si="0"/>
        <v>0.96491925146157975</v>
      </c>
      <c r="H132" s="4">
        <f t="shared" si="0"/>
        <v>7.4130966544867105</v>
      </c>
      <c r="I132">
        <f t="shared" si="0"/>
        <v>1.95152310292751</v>
      </c>
      <c r="J132">
        <f t="shared" si="0"/>
        <v>1.9722692008238192</v>
      </c>
      <c r="K132" s="4">
        <f t="shared" si="0"/>
        <v>2.1350750851567986</v>
      </c>
      <c r="L132">
        <f t="shared" si="0"/>
        <v>8.2181871420390369</v>
      </c>
      <c r="M132">
        <f t="shared" si="0"/>
        <v>8.3460296377601964</v>
      </c>
      <c r="N132" s="4">
        <f t="shared" si="0"/>
        <v>1.3722849564759361</v>
      </c>
      <c r="O132">
        <f t="shared" si="0"/>
        <v>6.1190123694080345</v>
      </c>
      <c r="P132">
        <f t="shared" si="0"/>
        <v>7.176517199481447</v>
      </c>
      <c r="Q132" s="4">
        <f t="shared" si="0"/>
        <v>9.3872666548370454</v>
      </c>
      <c r="R132">
        <f t="shared" si="0"/>
        <v>7.9879279225015853</v>
      </c>
      <c r="S132">
        <f t="shared" si="0"/>
        <v>7.615834547475048</v>
      </c>
      <c r="T132" s="4">
        <f t="shared" si="0"/>
        <v>13.294919902683846</v>
      </c>
      <c r="U132">
        <f t="shared" si="0"/>
        <v>19.659875210246891</v>
      </c>
      <c r="V132">
        <f t="shared" si="0"/>
        <v>17.35158436154747</v>
      </c>
      <c r="W132" s="4">
        <f t="shared" si="0"/>
        <v>2.9153577274007132</v>
      </c>
      <c r="X132">
        <f t="shared" si="0"/>
        <v>30.845043316868402</v>
      </c>
      <c r="Y132">
        <f t="shared" si="0"/>
        <v>28.990533391267025</v>
      </c>
      <c r="Z132" s="4">
        <f t="shared" si="0"/>
        <v>2.2319938417686478</v>
      </c>
    </row>
    <row r="133" spans="1:26" x14ac:dyDescent="0.2">
      <c r="A133" s="1" t="s">
        <v>335</v>
      </c>
      <c r="E133" s="4" cm="1">
        <f t="array" ref="E133">_xlfn.STDEV.S(ABS(E2:E129))</f>
        <v>3.8534911492355244</v>
      </c>
      <c r="H133" s="4" cm="1">
        <f t="array" ref="H133">_xlfn.STDEV.S(ABS(H2:H129))</f>
        <v>6.171416500257414</v>
      </c>
      <c r="K133" s="4" cm="1">
        <f t="array" ref="K133">_xlfn.STDEV.S(ABS(K2:K129))</f>
        <v>1.5803035924858031</v>
      </c>
      <c r="N133" s="4" cm="1">
        <f t="array" ref="N133">_xlfn.STDEV.S(ABS(N2:N129))</f>
        <v>0.97198132522064862</v>
      </c>
      <c r="Q133" s="4" cm="1">
        <f t="array" ref="Q133">_xlfn.STDEV.S(ABS(Q2:Q129))</f>
        <v>6.9397163974674818</v>
      </c>
      <c r="T133" s="4" cm="1">
        <f t="array" ref="T133">_xlfn.STDEV.S(ABS(T2:T129))</f>
        <v>13.148189402037501</v>
      </c>
      <c r="W133" s="4" cm="1">
        <f t="array" ref="W133">_xlfn.STDEV.S(ABS(W2:W129))</f>
        <v>2.9128376156930909</v>
      </c>
      <c r="Z133" s="4" cm="1">
        <f t="array" ref="Z133">_xlfn.STDEV.S(ABS(Z2:Z129))</f>
        <v>2.2288636874794445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S1C_tP.TXT</vt:lpstr>
      <vt:lpstr>S2C_tPA.TXT</vt:lpstr>
      <vt:lpstr>S3C_tP.TXT</vt:lpstr>
      <vt:lpstr>S4C_tP.TXT</vt:lpstr>
      <vt:lpstr>S5C_tPA.TXT</vt:lpstr>
      <vt:lpstr>S6C_tP.TXT</vt:lpstr>
      <vt:lpstr>All Samples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Liu, Guanyun</cp:lastModifiedBy>
  <dcterms:modified xsi:type="dcterms:W3CDTF">2026-02-10T14:14:16Z</dcterms:modified>
</cp:coreProperties>
</file>